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XCEL\3rd project- transportation\"/>
    </mc:Choice>
  </mc:AlternateContent>
  <xr:revisionPtr revIDLastSave="0" documentId="13_ncr:1_{FDFDAE43-0F4F-4FBB-9D1C-770A3F1C11DB}" xr6:coauthVersionLast="47" xr6:coauthVersionMax="47" xr10:uidLastSave="{00000000-0000-0000-0000-000000000000}"/>
  <bookViews>
    <workbookView xWindow="22932" yWindow="-108" windowWidth="23256" windowHeight="12456" activeTab="4" xr2:uid="{AA755927-4964-43EB-B456-3EA9EF025D98}"/>
  </bookViews>
  <sheets>
    <sheet name="Analysis 01" sheetId="1" r:id="rId1"/>
    <sheet name="Analysis 02" sheetId="3" r:id="rId2"/>
    <sheet name="Recommendations" sheetId="6" state="hidden" r:id="rId3"/>
    <sheet name="TransitPulse - Operations" sheetId="2" r:id="rId4"/>
    <sheet name="TransitPulse - Demographics" sheetId="4" r:id="rId5"/>
  </sheets>
  <definedNames>
    <definedName name="_xlchart.v2.0" hidden="1">'Analysis 02'!$AO$15:$AO$20</definedName>
    <definedName name="_xlchart.v2.1" hidden="1">'Analysis 02'!$AP$14</definedName>
    <definedName name="_xlchart.v2.2" hidden="1">'Analysis 02'!$AP$15:$AP$20</definedName>
    <definedName name="_xlchart.v2.3" hidden="1">'Analysis 02'!$AQ$14</definedName>
    <definedName name="_xlchart.v2.4" hidden="1">'Analysis 02'!$AQ$15:$AQ$20</definedName>
  </definedNames>
  <calcPr calcId="191029"/>
  <pivotCaches>
    <pivotCache cacheId="373" r:id="rId6"/>
    <pivotCache cacheId="376" r:id="rId7"/>
    <pivotCache cacheId="379" r:id="rId8"/>
    <pivotCache cacheId="382" r:id="rId9"/>
    <pivotCache cacheId="385" r:id="rId10"/>
    <pivotCache cacheId="388" r:id="rId11"/>
    <pivotCache cacheId="391" r:id="rId12"/>
    <pivotCache cacheId="394" r:id="rId13"/>
    <pivotCache cacheId="397" r:id="rId14"/>
    <pivotCache cacheId="400" r:id="rId15"/>
    <pivotCache cacheId="403" r:id="rId16"/>
    <pivotCache cacheId="406" r:id="rId17"/>
    <pivotCache cacheId="409" r:id="rId18"/>
    <pivotCache cacheId="412" r:id="rId19"/>
    <pivotCache cacheId="415" r:id="rId20"/>
    <pivotCache cacheId="418" r:id="rId21"/>
    <pivotCache cacheId="421" r:id="rId22"/>
    <pivotCache cacheId="424" r:id="rId23"/>
    <pivotCache cacheId="427" r:id="rId2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buses_1eeb3b48-dcb8-41d6-ac3e-e01117c0a196" name="Dim_buses" connection="Query - Dim_buses"/>
          <x15:modelTable id="Dim_demographics_5172096d-b157-4634-9201-412e4d48f5ad" name="Dim_demographics" connection="Query - Dim_demographics"/>
          <x15:modelTable id="Dim_routes_a767b785-ad8f-46fd-b212-c65985e57f3b" name="Dim_routes" connection="Query - Dim_routes"/>
          <x15:modelTable id="Facttable_ridership_f3d2b3f4-a077-4673-bde6-349c04732807" name="Facttable_ridership" connection="Query - Facttable_ridership"/>
          <x15:modelTable id="Dim_DateTable_1d4490da-57b8-4cb1-a985-49d39e402104" name="Dim_DateTable" connection="Query - Dim_DateTable"/>
          <x15:modelTable id="Calculations_aa21ff00-ea45-4627-a125-2be3fa54f3c2" name="Calculations" connection="Query - Calculations"/>
        </x15:modelTables>
        <x15:modelRelationships>
          <x15:modelRelationship fromTable="Dim_buses" fromColumn="RouteID" toTable="Dim_routes" toColumn="RouteID"/>
          <x15:modelRelationship fromTable="Facttable_ridership" fromColumn="BusID" toTable="Dim_buses" toColumn="BusID"/>
          <x15:modelRelationship fromTable="Facttable_ridership" fromColumn="RiderID" toTable="Dim_demographics" toColumn="RiderID"/>
          <x15:modelRelationship fromTable="Facttable_ridership" fromColumn="Date" toTable="Dim_DateTable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table_ridership" columnName="Time" columnId="Time">
                <x16:calculatedTimeColumn columnName="Time (Hour)" columnId="Time (Hour)" contentType="hours" isSelected="1"/>
                <x16:calculatedTimeColumn columnName="Time (Minute)" columnId="Time (Minute)" contentType="minute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V16" i="3" l="1"/>
  <c r="AV17" i="3"/>
  <c r="AV18" i="3"/>
  <c r="AV19" i="3"/>
  <c r="AV20" i="3"/>
  <c r="AU15" i="3"/>
  <c r="AV15" i="3"/>
  <c r="AU16" i="3"/>
  <c r="AU17" i="3"/>
  <c r="AU18" i="3"/>
  <c r="AU19" i="3"/>
  <c r="AU20" i="3"/>
  <c r="AV14" i="3"/>
  <c r="AU14" i="3"/>
  <c r="AO20" i="3"/>
  <c r="AP20" i="3"/>
  <c r="AO19" i="3"/>
  <c r="AP19" i="3"/>
  <c r="AO15" i="3"/>
  <c r="AP15" i="3"/>
  <c r="AO17" i="3"/>
  <c r="AP17" i="3"/>
  <c r="AO16" i="3"/>
  <c r="AP16" i="3"/>
  <c r="AO18" i="3"/>
  <c r="AP18" i="3"/>
  <c r="AP14" i="3"/>
  <c r="AO14" i="3"/>
  <c r="AJ19" i="3"/>
  <c r="AJ20" i="3"/>
  <c r="AJ22" i="3"/>
  <c r="AJ24" i="3"/>
  <c r="AJ21" i="3"/>
  <c r="AJ23" i="3"/>
  <c r="AJ18" i="3"/>
  <c r="AI19" i="3"/>
  <c r="AI20" i="3"/>
  <c r="AI22" i="3"/>
  <c r="AI24" i="3"/>
  <c r="AI21" i="3"/>
  <c r="AI23" i="3"/>
  <c r="AI18" i="3"/>
  <c r="AC1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8" i="3"/>
  <c r="G17" i="3"/>
  <c r="H17" i="3"/>
  <c r="G18" i="3"/>
  <c r="H18" i="3"/>
  <c r="G19" i="3"/>
  <c r="H19" i="3"/>
  <c r="H16" i="3"/>
  <c r="G16" i="3"/>
  <c r="AZ12" i="1"/>
  <c r="AY19" i="1"/>
  <c r="AY18" i="1"/>
  <c r="AX13" i="1"/>
  <c r="AW13" i="1"/>
  <c r="AX12" i="1"/>
  <c r="AY12" i="1" s="1"/>
  <c r="AW12" i="1"/>
  <c r="AX11" i="1"/>
  <c r="AW11" i="1"/>
  <c r="AQ13" i="1"/>
  <c r="AR13" i="1" s="1"/>
  <c r="AQ14" i="1"/>
  <c r="AS14" i="1" s="1"/>
  <c r="AQ8" i="1"/>
  <c r="AQ12" i="1"/>
  <c r="AR12" i="1" s="1"/>
  <c r="AP12" i="1"/>
  <c r="AP13" i="1"/>
  <c r="AP14" i="1"/>
  <c r="AP11" i="1"/>
  <c r="AB14" i="1"/>
  <c r="AB8" i="1"/>
  <c r="AC8" i="1"/>
  <c r="AB9" i="1"/>
  <c r="AC9" i="1"/>
  <c r="AB10" i="1"/>
  <c r="AC10" i="1"/>
  <c r="AB11" i="1"/>
  <c r="AC11" i="1"/>
  <c r="AB12" i="1"/>
  <c r="AC12" i="1"/>
  <c r="AB13" i="1"/>
  <c r="AC13" i="1"/>
  <c r="AC14" i="1"/>
  <c r="AC7" i="1"/>
  <c r="AB7" i="1"/>
  <c r="R20" i="1"/>
  <c r="S25" i="1" s="1"/>
  <c r="K9" i="1"/>
  <c r="K10" i="1"/>
  <c r="K11" i="1"/>
  <c r="K8" i="1"/>
  <c r="J9" i="1"/>
  <c r="J10" i="1"/>
  <c r="J11" i="1"/>
  <c r="J8" i="1"/>
  <c r="AQ20" i="3" l="1"/>
  <c r="AQ15" i="3"/>
  <c r="AQ16" i="3"/>
  <c r="AQ17" i="3"/>
  <c r="AQ19" i="3"/>
  <c r="AQ18" i="3"/>
  <c r="AY13" i="1"/>
  <c r="AZ13" i="1" s="1"/>
  <c r="I18" i="3"/>
  <c r="J18" i="3" s="1"/>
  <c r="AK20" i="3"/>
  <c r="AK19" i="3"/>
  <c r="AK22" i="3"/>
  <c r="AK23" i="3"/>
  <c r="AK21" i="3"/>
  <c r="AK24" i="3"/>
  <c r="V9" i="3"/>
  <c r="Y9" i="3" s="1"/>
  <c r="V13" i="3"/>
  <c r="Y13" i="3" s="1"/>
  <c r="V12" i="3"/>
  <c r="Y12" i="3" s="1"/>
  <c r="V11" i="3"/>
  <c r="Y11" i="3" s="1"/>
  <c r="W10" i="3"/>
  <c r="Z10" i="3" s="1"/>
  <c r="T10" i="3"/>
  <c r="S9" i="3"/>
  <c r="V10" i="3"/>
  <c r="Y10" i="3" s="1"/>
  <c r="I19" i="3"/>
  <c r="J19" i="3" s="1"/>
  <c r="T11" i="3"/>
  <c r="I17" i="3"/>
  <c r="J17" i="3" s="1"/>
  <c r="S10" i="3"/>
  <c r="W9" i="3"/>
  <c r="Z9" i="3" s="1"/>
  <c r="T9" i="3"/>
  <c r="W13" i="3"/>
  <c r="Z13" i="3" s="1"/>
  <c r="T13" i="3"/>
  <c r="W12" i="3"/>
  <c r="Z12" i="3" s="1"/>
  <c r="T12" i="3"/>
  <c r="W11" i="3"/>
  <c r="Z11" i="3" s="1"/>
  <c r="S13" i="3"/>
  <c r="S12" i="3"/>
  <c r="S11" i="3"/>
  <c r="AR14" i="1"/>
  <c r="AD11" i="1"/>
  <c r="AE11" i="1" s="1"/>
  <c r="AS12" i="1"/>
  <c r="AD10" i="1"/>
  <c r="AE10" i="1" s="1"/>
  <c r="AS13" i="1"/>
  <c r="AD9" i="1"/>
  <c r="AE9" i="1" s="1"/>
  <c r="AD8" i="1"/>
  <c r="AD14" i="1"/>
  <c r="AE14" i="1" s="1"/>
  <c r="AD13" i="1"/>
  <c r="AE13" i="1" s="1"/>
  <c r="AD12" i="1"/>
  <c r="AE12" i="1" s="1"/>
  <c r="L11" i="1"/>
  <c r="S20" i="1"/>
  <c r="L10" i="1"/>
  <c r="L9" i="1"/>
  <c r="AB20" i="1" l="1"/>
  <c r="AE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387146-3931-4C25-ABF9-CB3611CB623A}" name="Query - Calculations" description="Connection to the 'Calculations' query in the workbook." type="100" refreshedVersion="8" minRefreshableVersion="5">
    <extLst>
      <ext xmlns:x15="http://schemas.microsoft.com/office/spreadsheetml/2010/11/main" uri="{DE250136-89BD-433C-8126-D09CA5730AF9}">
        <x15:connection id="354fdca1-c5b3-4542-b412-42e6347c2f40">
          <x15:oledbPr connection="Provider=Microsoft.Mashup.OleDb.1;Data Source=$Workbook$;Location=Calculations;Extended Properties=&quot;&quot;">
            <x15:dbTables>
              <x15:dbTable name="Calculations"/>
            </x15:dbTables>
          </x15:oledbPr>
        </x15:connection>
      </ext>
    </extLst>
  </connection>
  <connection id="2" xr16:uid="{507720D4-C25E-45F7-A9FB-79A1BA8BE67E}" name="Query - Dim_buses" description="Connection to the 'Dim_buses' query in the workbook." type="100" refreshedVersion="8" minRefreshableVersion="5">
    <extLst>
      <ext xmlns:x15="http://schemas.microsoft.com/office/spreadsheetml/2010/11/main" uri="{DE250136-89BD-433C-8126-D09CA5730AF9}">
        <x15:connection id="d72fa70a-c452-4496-b0cf-a8acadee13b5">
          <x15:oledbPr connection="Provider=Microsoft.Mashup.OleDb.1;Data Source=$Workbook$;Location=Dim_buses;Extended Properties=&quot;&quot;">
            <x15:dbTables>
              <x15:dbTable name="Dim_buses"/>
            </x15:dbTables>
          </x15:oledbPr>
        </x15:connection>
      </ext>
    </extLst>
  </connection>
  <connection id="3" xr16:uid="{9D983D40-708D-4C70-A9B9-E7C5D924EF62}" name="Query - Dim_DateTable" description="Connection to the 'Dim_DateTable' query in the workbook." type="100" refreshedVersion="8" minRefreshableVersion="5">
    <extLst>
      <ext xmlns:x15="http://schemas.microsoft.com/office/spreadsheetml/2010/11/main" uri="{DE250136-89BD-433C-8126-D09CA5730AF9}">
        <x15:connection id="f4c1ce79-ec36-4f62-867e-a26450dfd651">
          <x15:oledbPr connection="Provider=Microsoft.Mashup.OleDb.1;Data Source=$Workbook$;Location=Dim_DateTable;Extended Properties=&quot;&quot;">
            <x15:dbTables>
              <x15:dbTable name="Dim_DateTable"/>
            </x15:dbTables>
          </x15:oledbPr>
        </x15:connection>
      </ext>
    </extLst>
  </connection>
  <connection id="4" xr16:uid="{A604A2F9-D719-40D2-AD71-D10C6B671BF9}" name="Query - Dim_demographics" description="Connection to the 'Dim_demographics' query in the workbook." type="100" refreshedVersion="8" minRefreshableVersion="5">
    <extLst>
      <ext xmlns:x15="http://schemas.microsoft.com/office/spreadsheetml/2010/11/main" uri="{DE250136-89BD-433C-8126-D09CA5730AF9}">
        <x15:connection id="479ec948-9a36-49d8-9e1f-b6733e331ec1">
          <x15:oledbPr connection="Provider=Microsoft.Mashup.OleDb.1;Data Source=$Workbook$;Location=Dim_demographics;Extended Properties=&quot;&quot;">
            <x15:dbTables>
              <x15:dbTable name="Dim_demographics"/>
            </x15:dbTables>
          </x15:oledbPr>
        </x15:connection>
      </ext>
    </extLst>
  </connection>
  <connection id="5" xr16:uid="{0466B628-FDEE-4C6D-82CE-817C0DE6D929}" name="Query - Dim_routes" description="Connection to the 'Dim_routes' query in the workbook." type="100" refreshedVersion="8" minRefreshableVersion="5">
    <extLst>
      <ext xmlns:x15="http://schemas.microsoft.com/office/spreadsheetml/2010/11/main" uri="{DE250136-89BD-433C-8126-D09CA5730AF9}">
        <x15:connection id="3fbddc25-f917-47b9-a143-125f28e5ec07">
          <x15:oledbPr connection="Provider=Microsoft.Mashup.OleDb.1;Data Source=$Workbook$;Location=Dim_routes;Extended Properties=&quot;&quot;">
            <x15:dbTables>
              <x15:dbTable name="Dim_routes"/>
            </x15:dbTables>
          </x15:oledbPr>
        </x15:connection>
      </ext>
    </extLst>
  </connection>
  <connection id="6" xr16:uid="{DBCAFC9E-92AE-4D8C-BD08-E93965691CF6}" name="Query - Facttable_ridership" description="Connection to the 'Facttable_ridership' query in the workbook." type="100" refreshedVersion="8" minRefreshableVersion="5">
    <extLst>
      <ext xmlns:x15="http://schemas.microsoft.com/office/spreadsheetml/2010/11/main" uri="{DE250136-89BD-433C-8126-D09CA5730AF9}">
        <x15:connection id="602534ff-9dad-4870-a2b9-594fe6de88df"/>
      </ext>
    </extLst>
  </connection>
  <connection id="7" xr16:uid="{B014AA17-4291-47B4-8820-B3496835B6FA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<sst xmlns="http://schemas.openxmlformats.org/spreadsheetml/2006/main" count="160" uniqueCount="125">
  <si>
    <t>Avg. Riders Per Trip</t>
  </si>
  <si>
    <t>Total Riders (Passengers)</t>
  </si>
  <si>
    <t>East-West Express</t>
  </si>
  <si>
    <t>South Line</t>
  </si>
  <si>
    <t>Busiest Route</t>
  </si>
  <si>
    <t>RouteName</t>
  </si>
  <si>
    <t>Least Busy Route</t>
  </si>
  <si>
    <t>Time Group</t>
  </si>
  <si>
    <t>10:00 AM - 3:00 PM</t>
  </si>
  <si>
    <t>5:00 AM - 10:00 AM</t>
  </si>
  <si>
    <t>3:00 PM - 12:00 AM</t>
  </si>
  <si>
    <t>Remaining</t>
  </si>
  <si>
    <t>Peak Hour</t>
  </si>
  <si>
    <t>Time</t>
  </si>
  <si>
    <t>Off-Peak Hour</t>
  </si>
  <si>
    <t>Year</t>
  </si>
  <si>
    <t>Total Riders (Passengers)2</t>
  </si>
  <si>
    <t>YoY Change</t>
  </si>
  <si>
    <t>Indicator</t>
  </si>
  <si>
    <t>▲</t>
  </si>
  <si>
    <t>▼</t>
  </si>
  <si>
    <t>Caption:</t>
  </si>
  <si>
    <t>Day Name</t>
  </si>
  <si>
    <t>Fri</t>
  </si>
  <si>
    <t>Mon</t>
  </si>
  <si>
    <t>Sat</t>
  </si>
  <si>
    <t>Sun</t>
  </si>
  <si>
    <t>Thu</t>
  </si>
  <si>
    <t>Tue</t>
  </si>
  <si>
    <t>Wed</t>
  </si>
  <si>
    <t>Average</t>
  </si>
  <si>
    <t>Above Average</t>
  </si>
  <si>
    <t>Caption</t>
  </si>
  <si>
    <t>Month Name</t>
  </si>
  <si>
    <t>Dec</t>
  </si>
  <si>
    <t>Jan</t>
  </si>
  <si>
    <t>Custom</t>
  </si>
  <si>
    <t>Under-Utilized</t>
  </si>
  <si>
    <t>Well-Utilized</t>
  </si>
  <si>
    <t>Over-Utilized</t>
  </si>
  <si>
    <t>Total Buses</t>
  </si>
  <si>
    <t>Pct</t>
  </si>
  <si>
    <t>Pct Left</t>
  </si>
  <si>
    <t>total</t>
  </si>
  <si>
    <t>Operation Moment</t>
  </si>
  <si>
    <t>AM</t>
  </si>
  <si>
    <t>PM</t>
  </si>
  <si>
    <t>Overall Pct</t>
  </si>
  <si>
    <t>PCT</t>
  </si>
  <si>
    <t>remaining</t>
  </si>
  <si>
    <t>Airport Express</t>
  </si>
  <si>
    <t>Beachfront Route</t>
  </si>
  <si>
    <t>Central Line</t>
  </si>
  <si>
    <t>City Shuttle</t>
  </si>
  <si>
    <t>Market Line</t>
  </si>
  <si>
    <t>North Circular</t>
  </si>
  <si>
    <t>Suburban Line</t>
  </si>
  <si>
    <t>University Line</t>
  </si>
  <si>
    <t>Gender</t>
  </si>
  <si>
    <t>Female</t>
  </si>
  <si>
    <t>Male</t>
  </si>
  <si>
    <t>Other</t>
  </si>
  <si>
    <t>Visual</t>
  </si>
  <si>
    <t>BusNumber</t>
  </si>
  <si>
    <t>Bus 1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</si>
  <si>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</si>
  <si>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</si>
  <si>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</si>
  <si>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</si>
  <si>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</si>
  <si>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</si>
  <si>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</si>
  <si>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</si>
  <si>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</si>
  <si>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</si>
  <si>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</si>
  <si>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</si>
  <si>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</si>
  <si>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</si>
  <si>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</si>
  <si>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</si>
  <si>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</si>
  <si>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</si>
  <si>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</si>
  <si>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</si>
  <si>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</si>
  <si>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</t>
  </si>
  <si>
    <t>Bus 30</t>
  </si>
  <si>
    <t>Bus 31</t>
  </si>
  <si>
    <t>Bus 32</t>
  </si>
  <si>
    <t>Bus 33</t>
  </si>
  <si>
    <t>Bus 34</t>
  </si>
  <si>
    <t>Bus 35</t>
  </si>
  <si>
    <t>Bus 36</t>
  </si>
  <si>
    <t>Bus 37</t>
  </si>
  <si>
    <t>Bus 38</t>
  </si>
  <si>
    <t>Bus 39</t>
  </si>
  <si>
    <t>Bus 4</t>
  </si>
  <si>
    <t>Bus 40</t>
  </si>
  <si>
    <t>Bus 5</t>
  </si>
  <si>
    <t>Bus 6</t>
  </si>
  <si>
    <t>Bus 7</t>
  </si>
  <si>
    <t>Bus 8</t>
  </si>
  <si>
    <t>Bus 9</t>
  </si>
  <si>
    <t>Rank</t>
  </si>
  <si>
    <t>BusName</t>
  </si>
  <si>
    <t>Riders</t>
  </si>
  <si>
    <t>rank_reverse</t>
  </si>
  <si>
    <t>Bottom5</t>
  </si>
  <si>
    <t>Occupation</t>
  </si>
  <si>
    <t>Professional</t>
  </si>
  <si>
    <t>Retired</t>
  </si>
  <si>
    <t>Self-Employed</t>
  </si>
  <si>
    <t>Student</t>
  </si>
  <si>
    <t>Unemployed</t>
  </si>
  <si>
    <t>Total</t>
  </si>
  <si>
    <t>pct</t>
  </si>
  <si>
    <t>Age-Group</t>
  </si>
  <si>
    <t>0-19</t>
  </si>
  <si>
    <t>20-29</t>
  </si>
  <si>
    <t>30-39</t>
  </si>
  <si>
    <t>40-49</t>
  </si>
  <si>
    <t>50-59</t>
  </si>
  <si>
    <t>Above 60</t>
  </si>
  <si>
    <t>Peak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</si>
</sst>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hh:mm\ AM/PM"/>
    <numFmt numFmtId="172" formatCode="[$-409]h:mm\ AM/PM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534AB7"/>
      <name val="Aptos Narrow"/>
      <family val="2"/>
      <scheme val="minor"/>
    </font>
    <font>
      <sz val="8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0F2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pivotButton="1"/>
    <xf numFmtId="1" fontId="0" fillId="0" borderId="0" xfId="0" applyNumberFormat="1"/>
    <xf numFmtId="0" fontId="0" fillId="2" borderId="0" xfId="0" applyFill="1"/>
    <xf numFmtId="0" fontId="0" fillId="3" borderId="0" xfId="0" applyFill="1"/>
    <xf numFmtId="3" fontId="0" fillId="0" borderId="0" xfId="0" applyNumberFormat="1"/>
    <xf numFmtId="19" fontId="0" fillId="0" borderId="0" xfId="0" applyNumberFormat="1"/>
    <xf numFmtId="0" fontId="0" fillId="4" borderId="0" xfId="0" applyFill="1"/>
    <xf numFmtId="10" fontId="0" fillId="0" borderId="0" xfId="0" applyNumberFormat="1"/>
    <xf numFmtId="0" fontId="0" fillId="5" borderId="0" xfId="0" applyFill="1"/>
    <xf numFmtId="0" fontId="1" fillId="0" borderId="0" xfId="0" applyFont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left"/>
    </xf>
    <xf numFmtId="0" fontId="2" fillId="0" borderId="0" xfId="0" applyFont="1"/>
    <xf numFmtId="0" fontId="0" fillId="8" borderId="0" xfId="0" applyFill="1"/>
    <xf numFmtId="0" fontId="0" fillId="0" borderId="0" xfId="0" applyNumberFormat="1"/>
    <xf numFmtId="169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8">
    <dxf>
      <font>
        <color theme="6"/>
      </font>
    </dxf>
    <dxf>
      <font>
        <color theme="6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colors>
    <mruColors>
      <color rgb="FFBA7517"/>
      <color rgb="FFAFA9EC"/>
      <color rgb="FFF0F2FF"/>
      <color rgb="FFEEEDFE"/>
      <color rgb="FF888780"/>
      <color rgb="FF534AB7"/>
      <color rgb="FF1D9E75"/>
      <color rgb="FF7F77DD"/>
      <color rgb="FFD3D1C7"/>
      <color rgb="FFFAEE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onnections" Target="connections.xml"/><Relationship Id="rId21" Type="http://schemas.openxmlformats.org/officeDocument/2006/relationships/pivotCacheDefinition" Target="pivotCache/pivotCacheDefinition16.xml"/><Relationship Id="rId42" Type="http://schemas.openxmlformats.org/officeDocument/2006/relationships/customXml" Target="../customXml/item12.xml"/><Relationship Id="rId47" Type="http://schemas.openxmlformats.org/officeDocument/2006/relationships/customXml" Target="../customXml/item17.xml"/><Relationship Id="rId63" Type="http://schemas.openxmlformats.org/officeDocument/2006/relationships/customXml" Target="../customXml/item33.xml"/><Relationship Id="rId68" Type="http://schemas.openxmlformats.org/officeDocument/2006/relationships/customXml" Target="../customXml/item38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1.xml"/><Relationship Id="rId29" Type="http://schemas.openxmlformats.org/officeDocument/2006/relationships/powerPivotData" Target="model/item.data"/><Relationship Id="rId11" Type="http://schemas.openxmlformats.org/officeDocument/2006/relationships/pivotCacheDefinition" Target="pivotCache/pivotCacheDefinition6.xml"/><Relationship Id="rId24" Type="http://schemas.openxmlformats.org/officeDocument/2006/relationships/pivotCacheDefinition" Target="pivotCache/pivotCacheDefinition19.xml"/><Relationship Id="rId32" Type="http://schemas.openxmlformats.org/officeDocument/2006/relationships/customXml" Target="../customXml/item2.xml"/><Relationship Id="rId37" Type="http://schemas.openxmlformats.org/officeDocument/2006/relationships/customXml" Target="../customXml/item7.xml"/><Relationship Id="rId40" Type="http://schemas.openxmlformats.org/officeDocument/2006/relationships/customXml" Target="../customXml/item10.xml"/><Relationship Id="rId45" Type="http://schemas.openxmlformats.org/officeDocument/2006/relationships/customXml" Target="../customXml/item15.xml"/><Relationship Id="rId53" Type="http://schemas.openxmlformats.org/officeDocument/2006/relationships/customXml" Target="../customXml/item23.xml"/><Relationship Id="rId58" Type="http://schemas.openxmlformats.org/officeDocument/2006/relationships/customXml" Target="../customXml/item28.xml"/><Relationship Id="rId66" Type="http://schemas.openxmlformats.org/officeDocument/2006/relationships/customXml" Target="../customXml/item36.xml"/><Relationship Id="rId74" Type="http://schemas.openxmlformats.org/officeDocument/2006/relationships/customXml" Target="../customXml/item44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1.xml"/><Relationship Id="rId19" Type="http://schemas.openxmlformats.org/officeDocument/2006/relationships/pivotCacheDefinition" Target="pivotCache/pivotCacheDefinition14.xml"/><Relationship Id="rId14" Type="http://schemas.openxmlformats.org/officeDocument/2006/relationships/pivotCacheDefinition" Target="pivotCache/pivotCacheDefinition9.xml"/><Relationship Id="rId22" Type="http://schemas.openxmlformats.org/officeDocument/2006/relationships/pivotCacheDefinition" Target="pivotCache/pivotCacheDefinition17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35" Type="http://schemas.openxmlformats.org/officeDocument/2006/relationships/customXml" Target="../customXml/item5.xml"/><Relationship Id="rId43" Type="http://schemas.openxmlformats.org/officeDocument/2006/relationships/customXml" Target="../customXml/item13.xml"/><Relationship Id="rId48" Type="http://schemas.openxmlformats.org/officeDocument/2006/relationships/customXml" Target="../customXml/item18.xml"/><Relationship Id="rId56" Type="http://schemas.openxmlformats.org/officeDocument/2006/relationships/customXml" Target="../customXml/item26.xml"/><Relationship Id="rId64" Type="http://schemas.openxmlformats.org/officeDocument/2006/relationships/customXml" Target="../customXml/item34.xml"/><Relationship Id="rId69" Type="http://schemas.openxmlformats.org/officeDocument/2006/relationships/customXml" Target="../customXml/item39.xml"/><Relationship Id="rId8" Type="http://schemas.openxmlformats.org/officeDocument/2006/relationships/pivotCacheDefinition" Target="pivotCache/pivotCacheDefinition3.xml"/><Relationship Id="rId51" Type="http://schemas.openxmlformats.org/officeDocument/2006/relationships/customXml" Target="../customXml/item21.xml"/><Relationship Id="rId72" Type="http://schemas.openxmlformats.org/officeDocument/2006/relationships/customXml" Target="../customXml/item4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openxmlformats.org/officeDocument/2006/relationships/pivotCacheDefinition" Target="pivotCache/pivotCacheDefinition12.xml"/><Relationship Id="rId25" Type="http://schemas.openxmlformats.org/officeDocument/2006/relationships/theme" Target="theme/theme1.xml"/><Relationship Id="rId33" Type="http://schemas.openxmlformats.org/officeDocument/2006/relationships/customXml" Target="../customXml/item3.xml"/><Relationship Id="rId38" Type="http://schemas.openxmlformats.org/officeDocument/2006/relationships/customXml" Target="../customXml/item8.xml"/><Relationship Id="rId46" Type="http://schemas.openxmlformats.org/officeDocument/2006/relationships/customXml" Target="../customXml/item16.xml"/><Relationship Id="rId59" Type="http://schemas.openxmlformats.org/officeDocument/2006/relationships/customXml" Target="../customXml/item29.xml"/><Relationship Id="rId67" Type="http://schemas.openxmlformats.org/officeDocument/2006/relationships/customXml" Target="../customXml/item37.xml"/><Relationship Id="rId20" Type="http://schemas.openxmlformats.org/officeDocument/2006/relationships/pivotCacheDefinition" Target="pivotCache/pivotCacheDefinition15.xml"/><Relationship Id="rId41" Type="http://schemas.openxmlformats.org/officeDocument/2006/relationships/customXml" Target="../customXml/item11.xml"/><Relationship Id="rId54" Type="http://schemas.openxmlformats.org/officeDocument/2006/relationships/customXml" Target="../customXml/item24.xml"/><Relationship Id="rId62" Type="http://schemas.openxmlformats.org/officeDocument/2006/relationships/customXml" Target="../customXml/item32.xml"/><Relationship Id="rId70" Type="http://schemas.openxmlformats.org/officeDocument/2006/relationships/customXml" Target="../customXml/item40.xml"/><Relationship Id="rId75" Type="http://schemas.openxmlformats.org/officeDocument/2006/relationships/customXml" Target="../customXml/item4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0.xml"/><Relationship Id="rId23" Type="http://schemas.openxmlformats.org/officeDocument/2006/relationships/pivotCacheDefinition" Target="pivotCache/pivotCacheDefinition18.xml"/><Relationship Id="rId28" Type="http://schemas.openxmlformats.org/officeDocument/2006/relationships/sharedStrings" Target="sharedStrings.xml"/><Relationship Id="rId36" Type="http://schemas.openxmlformats.org/officeDocument/2006/relationships/customXml" Target="../customXml/item6.xml"/><Relationship Id="rId49" Type="http://schemas.openxmlformats.org/officeDocument/2006/relationships/customXml" Target="../customXml/item19.xml"/><Relationship Id="rId57" Type="http://schemas.openxmlformats.org/officeDocument/2006/relationships/customXml" Target="../customXml/item27.xml"/><Relationship Id="rId10" Type="http://schemas.openxmlformats.org/officeDocument/2006/relationships/pivotCacheDefinition" Target="pivotCache/pivotCacheDefinition5.xml"/><Relationship Id="rId31" Type="http://schemas.openxmlformats.org/officeDocument/2006/relationships/customXml" Target="../customXml/item1.xml"/><Relationship Id="rId44" Type="http://schemas.openxmlformats.org/officeDocument/2006/relationships/customXml" Target="../customXml/item14.xml"/><Relationship Id="rId52" Type="http://schemas.openxmlformats.org/officeDocument/2006/relationships/customXml" Target="../customXml/item22.xml"/><Relationship Id="rId60" Type="http://schemas.openxmlformats.org/officeDocument/2006/relationships/customXml" Target="../customXml/item30.xml"/><Relationship Id="rId65" Type="http://schemas.openxmlformats.org/officeDocument/2006/relationships/customXml" Target="../customXml/item35.xml"/><Relationship Id="rId73" Type="http://schemas.openxmlformats.org/officeDocument/2006/relationships/customXml" Target="../customXml/item4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8.xml"/><Relationship Id="rId18" Type="http://schemas.openxmlformats.org/officeDocument/2006/relationships/pivotCacheDefinition" Target="pivotCache/pivotCacheDefinition13.xml"/><Relationship Id="rId39" Type="http://schemas.openxmlformats.org/officeDocument/2006/relationships/customXml" Target="../customXml/item9.xml"/><Relationship Id="rId34" Type="http://schemas.openxmlformats.org/officeDocument/2006/relationships/customXml" Target="../customXml/item4.xml"/><Relationship Id="rId50" Type="http://schemas.openxmlformats.org/officeDocument/2006/relationships/customXml" Target="../customXml/item20.xml"/><Relationship Id="rId55" Type="http://schemas.openxmlformats.org/officeDocument/2006/relationships/customXml" Target="../customXml/item25.xml"/><Relationship Id="rId7" Type="http://schemas.openxmlformats.org/officeDocument/2006/relationships/pivotCacheDefinition" Target="pivotCache/pivotCacheDefinition2.xml"/><Relationship Id="rId71" Type="http://schemas.openxmlformats.org/officeDocument/2006/relationships/customXml" Target="../customXml/item4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262438662558483"/>
          <c:y val="0.10848126232741617"/>
          <c:w val="0.69737561337441512"/>
          <c:h val="0.7830374753451676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'Analysis 01'!$K$8</c:f>
              <c:strCache>
                <c:ptCount val="1"/>
                <c:pt idx="0">
                  <c:v>Total Riders (Passengers)</c:v>
                </c:pt>
              </c:strCache>
            </c:strRef>
          </c:tx>
          <c:spPr>
            <a:gradFill flip="none" rotWithShape="1">
              <a:gsLst>
                <a:gs pos="0">
                  <a:srgbClr val="534AB7"/>
                </a:gs>
                <a:gs pos="74000">
                  <a:srgbClr val="534AB7"/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34AB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04B-4917-B699-D83FC742E64F}"/>
              </c:ext>
            </c:extLst>
          </c:dPt>
          <c:dPt>
            <c:idx val="1"/>
            <c:invertIfNegative val="0"/>
            <c:bubble3D val="0"/>
            <c:spPr>
              <a:solidFill>
                <a:srgbClr val="7F77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04B-4917-B699-D83FC742E64F}"/>
              </c:ext>
            </c:extLst>
          </c:dPt>
          <c:dPt>
            <c:idx val="2"/>
            <c:invertIfNegative val="0"/>
            <c:bubble3D val="0"/>
            <c:spPr>
              <a:solidFill>
                <a:srgbClr val="AFA9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04B-4917-B699-D83FC742E6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01'!$J$9:$J$11</c:f>
              <c:strCache>
                <c:ptCount val="3"/>
                <c:pt idx="0">
                  <c:v>3:00 PM - 12:00 AM</c:v>
                </c:pt>
                <c:pt idx="1">
                  <c:v>10:00 AM - 3:00 PM</c:v>
                </c:pt>
                <c:pt idx="2">
                  <c:v>5:00 AM - 10:00 AM</c:v>
                </c:pt>
              </c:strCache>
            </c:strRef>
          </c:cat>
          <c:val>
            <c:numRef>
              <c:f>'Analysis 01'!$K$9:$K$11</c:f>
              <c:numCache>
                <c:formatCode>#,##0</c:formatCode>
                <c:ptCount val="3"/>
                <c:pt idx="0">
                  <c:v>2999</c:v>
                </c:pt>
                <c:pt idx="1">
                  <c:v>2243</c:v>
                </c:pt>
                <c:pt idx="2">
                  <c:v>1345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B-4917-B699-D83FC742E64F}"/>
            </c:ext>
          </c:extLst>
        </c:ser>
        <c:ser>
          <c:idx val="1"/>
          <c:order val="1"/>
          <c:tx>
            <c:strRef>
              <c:f>'Analysis 01'!$L$8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rgbClr val="F0F2FF"/>
            </a:solidFill>
            <a:ln>
              <a:noFill/>
            </a:ln>
            <a:effectLst/>
          </c:spPr>
          <c:invertIfNegative val="0"/>
          <c:cat>
            <c:strRef>
              <c:f>'Analysis 01'!$J$9:$J$11</c:f>
              <c:strCache>
                <c:ptCount val="3"/>
                <c:pt idx="0">
                  <c:v>3:00 PM - 12:00 AM</c:v>
                </c:pt>
                <c:pt idx="1">
                  <c:v>10:00 AM - 3:00 PM</c:v>
                </c:pt>
                <c:pt idx="2">
                  <c:v>5:00 AM - 10:00 AM</c:v>
                </c:pt>
              </c:strCache>
            </c:strRef>
          </c:cat>
          <c:val>
            <c:numRef>
              <c:f>'Analysis 01'!$L$9:$L$11</c:f>
              <c:numCache>
                <c:formatCode>#,##0</c:formatCode>
                <c:ptCount val="3"/>
                <c:pt idx="0">
                  <c:v>0</c:v>
                </c:pt>
                <c:pt idx="1">
                  <c:v>756</c:v>
                </c:pt>
                <c:pt idx="2">
                  <c:v>1654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4B-4917-B699-D83FC742E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501124623"/>
        <c:axId val="1501120303"/>
      </c:barChart>
      <c:catAx>
        <c:axId val="1501124623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120303"/>
        <c:crosses val="autoZero"/>
        <c:auto val="1"/>
        <c:lblAlgn val="ctr"/>
        <c:lblOffset val="100"/>
        <c:noMultiLvlLbl val="0"/>
      </c:catAx>
      <c:valAx>
        <c:axId val="1501120303"/>
        <c:scaling>
          <c:orientation val="minMax"/>
        </c:scaling>
        <c:delete val="1"/>
        <c:axPos val="t"/>
        <c:numFmt formatCode="#,##0" sourceLinked="1"/>
        <c:majorTickMark val="out"/>
        <c:minorTickMark val="none"/>
        <c:tickLblPos val="nextTo"/>
        <c:crossAx val="150112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[Book1.xlsx]Analysis 01!PivotTable4</c:name>
    <c:fmtId val="26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534AB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534AB7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1587901701323248E-3"/>
              <c:y val="-9.920634920634920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3356945246709"/>
          <c:y val="0.10912698412698413"/>
          <c:w val="0.89044680225782591"/>
          <c:h val="0.66152512185976753"/>
        </c:manualLayout>
      </c:layout>
      <c:lineChart>
        <c:grouping val="standard"/>
        <c:varyColors val="0"/>
        <c:ser>
          <c:idx val="0"/>
          <c:order val="0"/>
          <c:tx>
            <c:strRef>
              <c:f>'Analysis 01'!$Q$7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534AB7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6910-4764-AB72-38C38127B872}"/>
              </c:ext>
            </c:extLst>
          </c:dPt>
          <c:dLbls>
            <c:dLbl>
              <c:idx val="1"/>
              <c:layout>
                <c:manualLayout>
                  <c:x val="4.1587901701323248E-3"/>
                  <c:y val="-9.92063492063492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10-4764-AB72-38C38127B8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01'!$P$8:$P$9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'Analysis 01'!$Q$8:$Q$9</c:f>
              <c:numCache>
                <c:formatCode>General</c:formatCode>
                <c:ptCount val="2"/>
                <c:pt idx="0">
                  <c:v>5654</c:v>
                </c:pt>
                <c:pt idx="1">
                  <c:v>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0-4764-AB72-38C38127B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107087"/>
        <c:axId val="464107567"/>
      </c:lineChart>
      <c:catAx>
        <c:axId val="464107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107567"/>
        <c:crosses val="autoZero"/>
        <c:auto val="1"/>
        <c:lblAlgn val="ctr"/>
        <c:lblOffset val="100"/>
        <c:noMultiLvlLbl val="0"/>
      </c:catAx>
      <c:valAx>
        <c:axId val="46410756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64107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01'!$AC$7</c:f>
              <c:strCache>
                <c:ptCount val="1"/>
                <c:pt idx="0">
                  <c:v>Total Riders (Passengers)</c:v>
                </c:pt>
              </c:strCache>
            </c:strRef>
          </c:tx>
          <c:spPr>
            <a:solidFill>
              <a:srgbClr val="D3D1C7"/>
            </a:solidFill>
            <a:ln>
              <a:noFill/>
            </a:ln>
            <a:effectLst/>
          </c:spPr>
          <c:invertIfNegative val="0"/>
          <c:cat>
            <c:strRef>
              <c:f>'Analysis 01'!$AB$8:$AB$14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'Analysis 01'!$AC$8:$AC$14</c:f>
              <c:numCache>
                <c:formatCode>General</c:formatCode>
                <c:ptCount val="7"/>
                <c:pt idx="0">
                  <c:v>1185</c:v>
                </c:pt>
                <c:pt idx="1">
                  <c:v>1085</c:v>
                </c:pt>
                <c:pt idx="2">
                  <c:v>983</c:v>
                </c:pt>
                <c:pt idx="3">
                  <c:v>887</c:v>
                </c:pt>
                <c:pt idx="4">
                  <c:v>889</c:v>
                </c:pt>
                <c:pt idx="5">
                  <c:v>762</c:v>
                </c:pt>
                <c:pt idx="6">
                  <c:v>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8-4AB5-9B06-E0E2B7730ED6}"/>
            </c:ext>
          </c:extLst>
        </c:ser>
        <c:ser>
          <c:idx val="2"/>
          <c:order val="2"/>
          <c:tx>
            <c:strRef>
              <c:f>'Analysis 01'!$AE$7</c:f>
              <c:strCache>
                <c:ptCount val="1"/>
                <c:pt idx="0">
                  <c:v>Above Average</c:v>
                </c:pt>
              </c:strCache>
            </c:strRef>
          </c:tx>
          <c:spPr>
            <a:solidFill>
              <a:srgbClr val="534AB7"/>
            </a:solidFill>
            <a:ln>
              <a:noFill/>
            </a:ln>
            <a:effectLst/>
          </c:spPr>
          <c:invertIfNegative val="0"/>
          <c:val>
            <c:numRef>
              <c:f>'Analysis 01'!$AE$8:$AE$14</c:f>
              <c:numCache>
                <c:formatCode>General</c:formatCode>
                <c:ptCount val="7"/>
                <c:pt idx="0">
                  <c:v>1185</c:v>
                </c:pt>
                <c:pt idx="1">
                  <c:v>1085</c:v>
                </c:pt>
                <c:pt idx="2">
                  <c:v>983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C8-4AB5-9B06-E0E2B7730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100"/>
        <c:axId val="1312706079"/>
        <c:axId val="1312702719"/>
      </c:barChart>
      <c:lineChart>
        <c:grouping val="standard"/>
        <c:varyColors val="0"/>
        <c:ser>
          <c:idx val="1"/>
          <c:order val="1"/>
          <c:tx>
            <c:strRef>
              <c:f>'Analysis 01'!$AD$7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rgbClr val="7F77DD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'Analysis 01'!$AD$8:$AD$14</c:f>
              <c:numCache>
                <c:formatCode>General</c:formatCode>
                <c:ptCount val="7"/>
                <c:pt idx="0">
                  <c:v>941</c:v>
                </c:pt>
                <c:pt idx="1">
                  <c:v>941</c:v>
                </c:pt>
                <c:pt idx="2">
                  <c:v>941</c:v>
                </c:pt>
                <c:pt idx="3">
                  <c:v>941</c:v>
                </c:pt>
                <c:pt idx="4">
                  <c:v>941</c:v>
                </c:pt>
                <c:pt idx="5">
                  <c:v>941</c:v>
                </c:pt>
                <c:pt idx="6">
                  <c:v>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C8-4AB5-9B06-E0E2B7730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2706079"/>
        <c:axId val="1312702719"/>
      </c:lineChart>
      <c:catAx>
        <c:axId val="131270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702719"/>
        <c:crosses val="autoZero"/>
        <c:auto val="1"/>
        <c:lblAlgn val="ctr"/>
        <c:lblOffset val="100"/>
        <c:noMultiLvlLbl val="0"/>
      </c:catAx>
      <c:valAx>
        <c:axId val="13127027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1270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[Book1.xlsx]Analysis 01!PivotTable22</c:name>
    <c:fmtId val="3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534AB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9.7770894751900095E-2"/>
          <c:w val="1"/>
          <c:h val="0.73080941896480944"/>
        </c:manualLayout>
      </c:layout>
      <c:lineChart>
        <c:grouping val="standard"/>
        <c:varyColors val="0"/>
        <c:ser>
          <c:idx val="0"/>
          <c:order val="0"/>
          <c:tx>
            <c:strRef>
              <c:f>'Analysis 01'!$AJ$6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534AB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01'!$AI$7:$AI$8</c:f>
              <c:strCache>
                <c:ptCount val="2"/>
                <c:pt idx="0">
                  <c:v>Jan</c:v>
                </c:pt>
                <c:pt idx="1">
                  <c:v>Dec</c:v>
                </c:pt>
              </c:strCache>
            </c:strRef>
          </c:cat>
          <c:val>
            <c:numRef>
              <c:f>'Analysis 01'!$AJ$7:$AJ$8</c:f>
              <c:numCache>
                <c:formatCode>General</c:formatCode>
                <c:ptCount val="2"/>
                <c:pt idx="0">
                  <c:v>933</c:v>
                </c:pt>
                <c:pt idx="1">
                  <c:v>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0E-4ED1-9EDA-84E676A2756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17360431"/>
        <c:axId val="1317358991"/>
      </c:lineChart>
      <c:catAx>
        <c:axId val="131736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358991"/>
        <c:crosses val="autoZero"/>
        <c:auto val="1"/>
        <c:lblAlgn val="ctr"/>
        <c:lblOffset val="100"/>
        <c:noMultiLvlLbl val="0"/>
      </c:catAx>
      <c:valAx>
        <c:axId val="13173589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1736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'Analysis 01'!$AQ$11</c:f>
              <c:strCache>
                <c:ptCount val="1"/>
                <c:pt idx="0">
                  <c:v>Pct</c:v>
                </c:pt>
              </c:strCache>
            </c:strRef>
          </c:tx>
          <c:dPt>
            <c:idx val="0"/>
            <c:bubble3D val="0"/>
            <c:spPr>
              <a:solidFill>
                <a:srgbClr val="534AB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1C9-4040-8438-92EA5FE6066D}"/>
              </c:ext>
            </c:extLst>
          </c:dPt>
          <c:dPt>
            <c:idx val="1"/>
            <c:bubble3D val="0"/>
            <c:spPr>
              <a:solidFill>
                <a:srgbClr val="BA751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1C9-4040-8438-92EA5FE6066D}"/>
              </c:ext>
            </c:extLst>
          </c:dPt>
          <c:dPt>
            <c:idx val="2"/>
            <c:bubble3D val="0"/>
            <c:spPr>
              <a:solidFill>
                <a:srgbClr val="1D9E7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1C9-4040-8438-92EA5FE6066D}"/>
              </c:ext>
            </c:extLst>
          </c:dPt>
          <c:dLbls>
            <c:delete val="1"/>
          </c:dLbls>
          <c:cat>
            <c:strRef>
              <c:f>'Analysis 01'!$AP$12:$AP$14</c:f>
              <c:strCache>
                <c:ptCount val="3"/>
                <c:pt idx="0">
                  <c:v>Over-Utilized</c:v>
                </c:pt>
                <c:pt idx="1">
                  <c:v>Under-Utilized</c:v>
                </c:pt>
                <c:pt idx="2">
                  <c:v>Well-Utilized</c:v>
                </c:pt>
              </c:strCache>
            </c:strRef>
          </c:cat>
          <c:val>
            <c:numRef>
              <c:f>'Analysis 01'!$AQ$12:$AQ$14</c:f>
              <c:numCache>
                <c:formatCode>0.00%</c:formatCode>
                <c:ptCount val="3"/>
                <c:pt idx="0">
                  <c:v>0.25974025974025972</c:v>
                </c:pt>
                <c:pt idx="1">
                  <c:v>0.24675324675324675</c:v>
                </c:pt>
                <c:pt idx="2">
                  <c:v>0.4935064935064935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C9-4040-8438-92EA5FE6066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0"/>
          <c:w val="0.96944444444444444"/>
          <c:h val="0.95833333333333337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'Analysis 01'!$AY$11</c:f>
              <c:strCache>
                <c:ptCount val="1"/>
                <c:pt idx="0">
                  <c:v>Overall Pct</c:v>
                </c:pt>
              </c:strCache>
            </c:strRef>
          </c:tx>
          <c:spPr>
            <a:solidFill>
              <a:srgbClr val="BA751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34AB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38-445F-A2BD-59402140DC2E}"/>
              </c:ext>
            </c:extLst>
          </c:dPt>
          <c:cat>
            <c:strRef>
              <c:f>'Analysis 01'!$AW$12:$AW$13</c:f>
              <c:strCache>
                <c:ptCount val="2"/>
                <c:pt idx="0">
                  <c:v>AM</c:v>
                </c:pt>
                <c:pt idx="1">
                  <c:v>PM</c:v>
                </c:pt>
              </c:strCache>
            </c:strRef>
          </c:cat>
          <c:val>
            <c:numRef>
              <c:f>'Analysis 01'!$AY$12:$AY$13</c:f>
              <c:numCache>
                <c:formatCode>0.00%</c:formatCode>
                <c:ptCount val="2"/>
                <c:pt idx="0">
                  <c:v>0.35387885228480342</c:v>
                </c:pt>
                <c:pt idx="1">
                  <c:v>0.64612114771519658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38-445F-A2BD-59402140DC2E}"/>
            </c:ext>
          </c:extLst>
        </c:ser>
        <c:ser>
          <c:idx val="3"/>
          <c:order val="1"/>
          <c:tx>
            <c:strRef>
              <c:f>'Analysis 01'!$AZ$11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rgbClr val="F0F2FF"/>
            </a:solidFill>
            <a:ln>
              <a:noFill/>
            </a:ln>
            <a:effectLst/>
          </c:spPr>
          <c:invertIfNegative val="0"/>
          <c:cat>
            <c:strRef>
              <c:f>'Analysis 01'!$AW$12:$AW$13</c:f>
              <c:strCache>
                <c:ptCount val="2"/>
                <c:pt idx="0">
                  <c:v>AM</c:v>
                </c:pt>
                <c:pt idx="1">
                  <c:v>PM</c:v>
                </c:pt>
              </c:strCache>
            </c:strRef>
          </c:cat>
          <c:val>
            <c:numRef>
              <c:f>'Analysis 01'!$AZ$12:$AZ$13</c:f>
              <c:numCache>
                <c:formatCode>0.00%</c:formatCode>
                <c:ptCount val="2"/>
                <c:pt idx="0">
                  <c:v>0.64612114771519658</c:v>
                </c:pt>
                <c:pt idx="1">
                  <c:v>0.35387885228480342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38-445F-A2BD-59402140D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9"/>
        <c:overlap val="100"/>
        <c:axId val="457775695"/>
        <c:axId val="457792495"/>
      </c:barChart>
      <c:catAx>
        <c:axId val="4577756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57792495"/>
        <c:crosses val="autoZero"/>
        <c:auto val="1"/>
        <c:lblAlgn val="ctr"/>
        <c:lblOffset val="100"/>
        <c:noMultiLvlLbl val="0"/>
      </c:catAx>
      <c:valAx>
        <c:axId val="457792495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45777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[Book1.xlsx]Analysis 02!PivotTable5</c:name>
    <c:fmtId val="5"/>
  </c:pivotSource>
  <c:chart>
    <c:autoTitleDeleted val="1"/>
    <c:pivotFmts>
      <c:pivotFmt>
        <c:idx val="0"/>
        <c:spPr>
          <a:solidFill>
            <a:srgbClr val="534AB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34AB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34AB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189399891892496"/>
          <c:y val="2.1732730488980848E-2"/>
          <c:w val="0.71733678355281516"/>
          <c:h val="0.972765995491439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'Analysis 02'!$C$8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34A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02'!$B$9:$B$18</c:f>
              <c:strCache>
                <c:ptCount val="10"/>
                <c:pt idx="0">
                  <c:v>East-West Express</c:v>
                </c:pt>
                <c:pt idx="1">
                  <c:v>Central Line</c:v>
                </c:pt>
                <c:pt idx="2">
                  <c:v>Airport Express</c:v>
                </c:pt>
                <c:pt idx="3">
                  <c:v>University Line</c:v>
                </c:pt>
                <c:pt idx="4">
                  <c:v>Suburban Line</c:v>
                </c:pt>
                <c:pt idx="5">
                  <c:v>Market Line</c:v>
                </c:pt>
                <c:pt idx="6">
                  <c:v>City Shuttle</c:v>
                </c:pt>
                <c:pt idx="7">
                  <c:v>Beachfront Route</c:v>
                </c:pt>
                <c:pt idx="8">
                  <c:v>North Circular</c:v>
                </c:pt>
                <c:pt idx="9">
                  <c:v>South Line</c:v>
                </c:pt>
              </c:strCache>
            </c:strRef>
          </c:cat>
          <c:val>
            <c:numRef>
              <c:f>'Analysis 02'!$C$9:$C$18</c:f>
              <c:numCache>
                <c:formatCode>#,##0</c:formatCode>
                <c:ptCount val="10"/>
                <c:pt idx="0">
                  <c:v>1322</c:v>
                </c:pt>
                <c:pt idx="1">
                  <c:v>1271</c:v>
                </c:pt>
                <c:pt idx="2">
                  <c:v>754</c:v>
                </c:pt>
                <c:pt idx="3">
                  <c:v>741</c:v>
                </c:pt>
                <c:pt idx="4">
                  <c:v>659</c:v>
                </c:pt>
                <c:pt idx="5">
                  <c:v>609</c:v>
                </c:pt>
                <c:pt idx="6">
                  <c:v>509</c:v>
                </c:pt>
                <c:pt idx="7">
                  <c:v>331</c:v>
                </c:pt>
                <c:pt idx="8">
                  <c:v>206</c:v>
                </c:pt>
                <c:pt idx="9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0-4148-9353-3B26C63352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27596239"/>
        <c:axId val="1627596719"/>
      </c:barChart>
      <c:catAx>
        <c:axId val="16275962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596719"/>
        <c:crosses val="autoZero"/>
        <c:auto val="1"/>
        <c:lblAlgn val="ctr"/>
        <c:lblOffset val="100"/>
        <c:noMultiLvlLbl val="0"/>
      </c:catAx>
      <c:valAx>
        <c:axId val="1627596719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162759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045045045045043E-2"/>
          <c:y val="3.125E-2"/>
          <c:w val="0.90990990990990994"/>
          <c:h val="0.8044830603071165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534A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02'!$Y$9:$Y$13</c:f>
              <c:strCache>
                <c:ptCount val="5"/>
                <c:pt idx="0">
                  <c:v>Bus 26</c:v>
                </c:pt>
                <c:pt idx="1">
                  <c:v>Bus 26</c:v>
                </c:pt>
                <c:pt idx="2">
                  <c:v>Bus 19</c:v>
                </c:pt>
                <c:pt idx="3">
                  <c:v>Bus 14</c:v>
                </c:pt>
                <c:pt idx="4">
                  <c:v>Bus 13</c:v>
                </c:pt>
              </c:strCache>
            </c:strRef>
          </c:cat>
          <c:val>
            <c:numRef>
              <c:f>'Analysis 02'!$Z$9:$Z$13</c:f>
              <c:numCache>
                <c:formatCode>General</c:formatCode>
                <c:ptCount val="5"/>
                <c:pt idx="0">
                  <c:v>57</c:v>
                </c:pt>
                <c:pt idx="1">
                  <c:v>57</c:v>
                </c:pt>
                <c:pt idx="2">
                  <c:v>69</c:v>
                </c:pt>
                <c:pt idx="3">
                  <c:v>72</c:v>
                </c:pt>
                <c:pt idx="4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B0-4A9C-A79B-B112D9424F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3239344"/>
        <c:axId val="1293228784"/>
      </c:barChart>
      <c:catAx>
        <c:axId val="129323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228784"/>
        <c:crosses val="autoZero"/>
        <c:auto val="1"/>
        <c:lblAlgn val="ctr"/>
        <c:lblOffset val="100"/>
        <c:noMultiLvlLbl val="0"/>
      </c:catAx>
      <c:valAx>
        <c:axId val="12932287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9323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'Analysis 02'!$AJ$18</c:f>
              <c:strCache>
                <c:ptCount val="1"/>
                <c:pt idx="0">
                  <c:v>Total Riders (Passengers)</c:v>
                </c:pt>
              </c:strCache>
            </c:strRef>
          </c:tx>
          <c:spPr>
            <a:solidFill>
              <a:srgbClr val="534AB7"/>
            </a:solidFill>
            <a:ln>
              <a:noFill/>
            </a:ln>
            <a:effectLst/>
          </c:spPr>
          <c:invertIfNegative val="0"/>
          <c:cat>
            <c:strRef>
              <c:f>'Analysis 02'!$AI$19:$AI$24</c:f>
              <c:strCache>
                <c:ptCount val="6"/>
                <c:pt idx="0">
                  <c:v>Other</c:v>
                </c:pt>
                <c:pt idx="1">
                  <c:v>Professional</c:v>
                </c:pt>
                <c:pt idx="2">
                  <c:v>Retired</c:v>
                </c:pt>
                <c:pt idx="3">
                  <c:v>Self-Employed</c:v>
                </c:pt>
                <c:pt idx="4">
                  <c:v>Student</c:v>
                </c:pt>
                <c:pt idx="5">
                  <c:v>Unemployed</c:v>
                </c:pt>
              </c:strCache>
            </c:strRef>
          </c:cat>
          <c:val>
            <c:numRef>
              <c:f>'Analysis 02'!$AJ$19:$AJ$24</c:f>
              <c:numCache>
                <c:formatCode>General</c:formatCode>
                <c:ptCount val="6"/>
                <c:pt idx="0">
                  <c:v>1633</c:v>
                </c:pt>
                <c:pt idx="1">
                  <c:v>1554</c:v>
                </c:pt>
                <c:pt idx="2">
                  <c:v>589</c:v>
                </c:pt>
                <c:pt idx="3">
                  <c:v>1321</c:v>
                </c:pt>
                <c:pt idx="4">
                  <c:v>479</c:v>
                </c:pt>
                <c:pt idx="5">
                  <c:v>1011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7F-4C3D-A888-DEDAB35067F7}"/>
            </c:ext>
          </c:extLst>
        </c:ser>
        <c:ser>
          <c:idx val="1"/>
          <c:order val="1"/>
          <c:tx>
            <c:strRef>
              <c:f>'Analysis 02'!$AK$18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FA9EC">
                <a:alpha val="25000"/>
              </a:srgbClr>
            </a:solidFill>
            <a:ln>
              <a:noFill/>
            </a:ln>
            <a:effectLst/>
          </c:spPr>
          <c:invertIfNegative val="0"/>
          <c:cat>
            <c:strRef>
              <c:f>'Analysis 02'!$AI$19:$AI$24</c:f>
              <c:strCache>
                <c:ptCount val="6"/>
                <c:pt idx="0">
                  <c:v>Other</c:v>
                </c:pt>
                <c:pt idx="1">
                  <c:v>Professional</c:v>
                </c:pt>
                <c:pt idx="2">
                  <c:v>Retired</c:v>
                </c:pt>
                <c:pt idx="3">
                  <c:v>Self-Employed</c:v>
                </c:pt>
                <c:pt idx="4">
                  <c:v>Student</c:v>
                </c:pt>
                <c:pt idx="5">
                  <c:v>Unemployed</c:v>
                </c:pt>
              </c:strCache>
            </c:strRef>
          </c:cat>
          <c:val>
            <c:numRef>
              <c:f>'Analysis 02'!$AK$19:$AK$24</c:f>
              <c:numCache>
                <c:formatCode>General</c:formatCode>
                <c:ptCount val="6"/>
                <c:pt idx="0">
                  <c:v>6587</c:v>
                </c:pt>
                <c:pt idx="1">
                  <c:v>6587</c:v>
                </c:pt>
                <c:pt idx="2">
                  <c:v>6587</c:v>
                </c:pt>
                <c:pt idx="3">
                  <c:v>6587</c:v>
                </c:pt>
                <c:pt idx="4">
                  <c:v>6587</c:v>
                </c:pt>
                <c:pt idx="5">
                  <c:v>6587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7F-4C3D-A888-DEDAB3506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293271504"/>
        <c:axId val="1293272944"/>
      </c:barChart>
      <c:catAx>
        <c:axId val="129327150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272944"/>
        <c:crosses val="autoZero"/>
        <c:auto val="1"/>
        <c:lblAlgn val="ctr"/>
        <c:lblOffset val="100"/>
        <c:noMultiLvlLbl val="0"/>
      </c:catAx>
      <c:valAx>
        <c:axId val="1293272944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29327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  <cx:data id="1">
      <cx:strDim type="cat">
        <cx:f>_xlchart.v2.0</cx:f>
      </cx:strDim>
      <cx:numDim type="val">
        <cx:f>_xlchart.v2.4</cx:f>
      </cx:numDim>
    </cx:data>
  </cx:chartData>
  <cx:chart>
    <cx:plotArea>
      <cx:plotAreaRegion>
        <cx:series layoutId="funnel" uniqueId="{B4E97ECF-E929-4787-A537-F17439C59310}" formatIdx="0">
          <cx:tx>
            <cx:txData>
              <cx:f>_xlchart.v2.1</cx:f>
              <cx:v>Total Riders (Passengers)</cx:v>
            </cx:txData>
          </cx:tx>
          <cx:dataPt idx="0">
            <cx:spPr>
              <a:solidFill>
                <a:srgbClr val="196B24">
                  <a:lumMod val="50000"/>
                </a:srgbClr>
              </a:solidFill>
            </cx:spPr>
          </cx:dataPt>
          <cx:dataPt idx="1">
            <cx:spPr>
              <a:solidFill>
                <a:srgbClr val="196B24">
                  <a:lumMod val="75000"/>
                </a:srgbClr>
              </a:solidFill>
            </cx:spPr>
          </cx:dataPt>
          <cx:dataPt idx="2">
            <cx:spPr>
              <a:solidFill>
                <a:srgbClr val="196B24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196B24">
                  <a:lumMod val="40000"/>
                  <a:lumOff val="60000"/>
                </a:srgbClr>
              </a:solidFill>
            </cx:spPr>
          </cx:dataPt>
          <cx:dataPt idx="4">
            <cx:spPr>
              <a:solidFill>
                <a:srgbClr val="196B24">
                  <a:lumMod val="40000"/>
                  <a:lumOff val="60000"/>
                </a:srgbClr>
              </a:solidFill>
            </cx:spPr>
          </cx:dataPt>
          <cx:dataPt idx="5">
            <cx:spPr>
              <a:solidFill>
                <a:srgbClr val="196B24">
                  <a:lumMod val="20000"/>
                  <a:lumOff val="80000"/>
                </a:srgbClr>
              </a:solidFill>
            </cx:spPr>
          </cx:dataPt>
          <cx:dataLabels>
            <cx:visibility seriesName="0" categoryName="0" value="1"/>
            <cx:separator>, </cx:separator>
          </cx:dataLabels>
          <cx:dataId val="0"/>
        </cx:series>
        <cx:series layoutId="funnel" hidden="1" uniqueId="{5F1B9969-FD06-4CDA-9202-CD2FCCD8D6F7}" formatIdx="1">
          <cx:tx>
            <cx:txData>
              <cx:f>_xlchart.v2.3</cx:f>
              <cx:v>pct</cx:v>
            </cx:txData>
          </cx:tx>
          <cx:dataLabels>
            <cx:visibility seriesName="0" categoryName="0" value="1"/>
          </cx:dataLabels>
          <cx:dataId val="1"/>
        </cx:series>
      </cx:plotAreaRegion>
      <cx:axis id="1">
        <cx:catScaling gapWidth="0.0599999987"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Radio" firstButton="1" fmlaLink="'Analysis 02'!$AB$1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image" Target="../media/image2.png"/><Relationship Id="rId7" Type="http://schemas.openxmlformats.org/officeDocument/2006/relationships/chart" Target="../charts/chart5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60960</xdr:colOff>
      <xdr:row>12</xdr:row>
      <xdr:rowOff>38100</xdr:rowOff>
    </xdr:from>
    <xdr:to>
      <xdr:col>22</xdr:col>
      <xdr:colOff>419100</xdr:colOff>
      <xdr:row>20</xdr:row>
      <xdr:rowOff>30480</xdr:rowOff>
    </xdr:to>
    <xdr:sp macro="[0]!Recommendations_Shape85_Click" textlink="">
      <xdr:nvSpPr>
        <xdr:cNvPr id="3" name="Shape 85">
          <a:extLst>
            <a:ext uri="{FF2B5EF4-FFF2-40B4-BE49-F238E27FC236}">
              <a16:creationId xmlns:a16="http://schemas.microsoft.com/office/drawing/2014/main" id="{08ECB4B7-947D-6EFD-22EC-D292FB80BFA1}"/>
            </a:ext>
          </a:extLst>
        </xdr:cNvPr>
        <xdr:cNvSpPr/>
      </xdr:nvSpPr>
      <xdr:spPr>
        <a:xfrm>
          <a:off x="10424160" y="2232660"/>
          <a:ext cx="3406140" cy="1455420"/>
        </a:xfrm>
        <a:prstGeom prst="rightArrowCallout">
          <a:avLst>
            <a:gd name="adj1" fmla="val 41754"/>
            <a:gd name="adj2" fmla="val 25524"/>
            <a:gd name="adj3" fmla="val 63743"/>
            <a:gd name="adj4" fmla="val 64977"/>
          </a:avLst>
        </a:prstGeom>
        <a:solidFill>
          <a:srgbClr val="534AB7"/>
        </a:solidFill>
        <a:ln w="12700">
          <a:solidFill>
            <a:srgbClr val="534AB7"/>
          </a:solidFill>
          <a:prstDash val="solid"/>
        </a:ln>
      </xdr:spPr>
      <xdr:txBody>
        <a:bodyPr wrap="square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0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Back to Dashboard</a:t>
          </a:r>
        </a:p>
      </xdr:txBody>
    </xdr:sp>
    <xdr:clientData/>
  </xdr:twoCellAnchor>
  <xdr:twoCellAnchor>
    <xdr:from>
      <xdr:col>0</xdr:col>
      <xdr:colOff>281940</xdr:colOff>
      <xdr:row>4</xdr:row>
      <xdr:rowOff>53340</xdr:rowOff>
    </xdr:from>
    <xdr:to>
      <xdr:col>7</xdr:col>
      <xdr:colOff>586740</xdr:colOff>
      <xdr:row>5</xdr:row>
      <xdr:rowOff>89916</xdr:rowOff>
    </xdr:to>
    <xdr:sp macro="" textlink="">
      <xdr:nvSpPr>
        <xdr:cNvPr id="6" name="Text 6">
          <a:extLst>
            <a:ext uri="{FF2B5EF4-FFF2-40B4-BE49-F238E27FC236}">
              <a16:creationId xmlns:a16="http://schemas.microsoft.com/office/drawing/2014/main" id="{0023ECA0-38F4-9DD1-C5AA-172876D480B6}"/>
            </a:ext>
          </a:extLst>
        </xdr:cNvPr>
        <xdr:cNvSpPr/>
      </xdr:nvSpPr>
      <xdr:spPr>
        <a:xfrm>
          <a:off x="281940" y="784860"/>
          <a:ext cx="4572000" cy="219456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400" b="1">
              <a:solidFill>
                <a:srgbClr val="1A1D3A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5 actions to optimise the service</a:t>
          </a:r>
          <a:endParaRPr lang="en-US" sz="1400"/>
        </a:p>
      </xdr:txBody>
    </xdr:sp>
    <xdr:clientData/>
  </xdr:twoCellAnchor>
  <xdr:twoCellAnchor>
    <xdr:from>
      <xdr:col>0</xdr:col>
      <xdr:colOff>281940</xdr:colOff>
      <xdr:row>6</xdr:row>
      <xdr:rowOff>144780</xdr:rowOff>
    </xdr:from>
    <xdr:to>
      <xdr:col>14</xdr:col>
      <xdr:colOff>562356</xdr:colOff>
      <xdr:row>10</xdr:row>
      <xdr:rowOff>71628</xdr:rowOff>
    </xdr:to>
    <xdr:sp macro="" textlink="">
      <xdr:nvSpPr>
        <xdr:cNvPr id="7" name="Shape 8">
          <a:extLst>
            <a:ext uri="{FF2B5EF4-FFF2-40B4-BE49-F238E27FC236}">
              <a16:creationId xmlns:a16="http://schemas.microsoft.com/office/drawing/2014/main" id="{C4E90213-ECB8-5EC0-B8D8-9E34D6EDB37A}"/>
            </a:ext>
          </a:extLst>
        </xdr:cNvPr>
        <xdr:cNvSpPr/>
      </xdr:nvSpPr>
      <xdr:spPr>
        <a:xfrm>
          <a:off x="281940" y="1242060"/>
          <a:ext cx="8814816" cy="658368"/>
        </a:xfrm>
        <a:prstGeom prst="rect">
          <a:avLst/>
        </a:prstGeom>
        <a:solidFill>
          <a:srgbClr val="FFFFFF"/>
        </a:solidFill>
        <a:ln w="6350">
          <a:solidFill>
            <a:srgbClr val="D3D1C7"/>
          </a:solidFill>
          <a:prstDash val="solid"/>
        </a:ln>
        <a:effectLst>
          <a:outerShdw blurRad="101600" dist="25400" dir="8100000" algn="bl" rotWithShape="0">
            <a:srgbClr val="000000">
              <a:alpha val="7000"/>
            </a:srgbClr>
          </a:outerShdw>
        </a:effectLst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373380</xdr:colOff>
      <xdr:row>7</xdr:row>
      <xdr:rowOff>117348</xdr:rowOff>
    </xdr:from>
    <xdr:to>
      <xdr:col>1</xdr:col>
      <xdr:colOff>92964</xdr:colOff>
      <xdr:row>9</xdr:row>
      <xdr:rowOff>80772</xdr:rowOff>
    </xdr:to>
    <xdr:sp macro="" textlink="">
      <xdr:nvSpPr>
        <xdr:cNvPr id="8" name="Shape 9">
          <a:extLst>
            <a:ext uri="{FF2B5EF4-FFF2-40B4-BE49-F238E27FC236}">
              <a16:creationId xmlns:a16="http://schemas.microsoft.com/office/drawing/2014/main" id="{1491876F-4F20-CAD0-F97D-B8114C23D13F}"/>
            </a:ext>
          </a:extLst>
        </xdr:cNvPr>
        <xdr:cNvSpPr/>
      </xdr:nvSpPr>
      <xdr:spPr>
        <a:xfrm>
          <a:off x="373380" y="1397508"/>
          <a:ext cx="329184" cy="329184"/>
        </a:xfrm>
        <a:prstGeom prst="ellipse">
          <a:avLst/>
        </a:prstGeom>
        <a:solidFill>
          <a:srgbClr val="534AB7"/>
        </a:solidFill>
        <a:ln w="12700">
          <a:solidFill>
            <a:srgbClr val="534AB7"/>
          </a:solidFill>
          <a:prstDash val="solid"/>
        </a:ln>
      </xdr:spPr>
      <xdr:txBody>
        <a:bodyPr wrap="square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>
              <a:solidFill>
                <a:schemeClr val="bg1"/>
              </a:solidFill>
            </a:rPr>
            <a:t>1</a:t>
          </a:r>
        </a:p>
      </xdr:txBody>
    </xdr:sp>
    <xdr:clientData/>
  </xdr:twoCellAnchor>
  <xdr:twoCellAnchor>
    <xdr:from>
      <xdr:col>1</xdr:col>
      <xdr:colOff>202692</xdr:colOff>
      <xdr:row>7</xdr:row>
      <xdr:rowOff>117348</xdr:rowOff>
    </xdr:from>
    <xdr:to>
      <xdr:col>14</xdr:col>
      <xdr:colOff>416052</xdr:colOff>
      <xdr:row>8</xdr:row>
      <xdr:rowOff>135636</xdr:rowOff>
    </xdr:to>
    <xdr:sp macro="" textlink="">
      <xdr:nvSpPr>
        <xdr:cNvPr id="10" name="Text 11">
          <a:extLst>
            <a:ext uri="{FF2B5EF4-FFF2-40B4-BE49-F238E27FC236}">
              <a16:creationId xmlns:a16="http://schemas.microsoft.com/office/drawing/2014/main" id="{66D863A1-7D97-3CDB-356C-FADD7F98C591}"/>
            </a:ext>
          </a:extLst>
        </xdr:cNvPr>
        <xdr:cNvSpPr/>
      </xdr:nvSpPr>
      <xdr:spPr>
        <a:xfrm>
          <a:off x="812292" y="1397508"/>
          <a:ext cx="8138160" cy="201168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100" b="1">
              <a:solidFill>
                <a:srgbClr val="1A1D3A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Increase frequency on East-West Express &amp; Central Line</a:t>
          </a:r>
          <a:endParaRPr lang="en-US" sz="1100"/>
        </a:p>
      </xdr:txBody>
    </xdr:sp>
    <xdr:clientData/>
  </xdr:twoCellAnchor>
  <xdr:twoCellAnchor>
    <xdr:from>
      <xdr:col>1</xdr:col>
      <xdr:colOff>202692</xdr:colOff>
      <xdr:row>8</xdr:row>
      <xdr:rowOff>53340</xdr:rowOff>
    </xdr:from>
    <xdr:to>
      <xdr:col>14</xdr:col>
      <xdr:colOff>416052</xdr:colOff>
      <xdr:row>10</xdr:row>
      <xdr:rowOff>16764</xdr:rowOff>
    </xdr:to>
    <xdr:sp macro="" textlink="">
      <xdr:nvSpPr>
        <xdr:cNvPr id="11" name="Text 12">
          <a:extLst>
            <a:ext uri="{FF2B5EF4-FFF2-40B4-BE49-F238E27FC236}">
              <a16:creationId xmlns:a16="http://schemas.microsoft.com/office/drawing/2014/main" id="{AEA7287E-CFF6-0FC9-FF73-41108A768B74}"/>
            </a:ext>
          </a:extLst>
        </xdr:cNvPr>
        <xdr:cNvSpPr/>
      </xdr:nvSpPr>
      <xdr:spPr>
        <a:xfrm>
          <a:off x="812292" y="1516380"/>
          <a:ext cx="8138160" cy="329184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85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These two routes carry 2,593 riders - 39% of total ridership. Adding more trips during peak hours will reduce crowding and improve passenger experience.</a:t>
          </a:r>
          <a:endParaRPr lang="en-US" sz="850"/>
        </a:p>
      </xdr:txBody>
    </xdr:sp>
    <xdr:clientData/>
  </xdr:twoCellAnchor>
  <xdr:twoCellAnchor>
    <xdr:from>
      <xdr:col>0</xdr:col>
      <xdr:colOff>281940</xdr:colOff>
      <xdr:row>10</xdr:row>
      <xdr:rowOff>163068</xdr:rowOff>
    </xdr:from>
    <xdr:to>
      <xdr:col>14</xdr:col>
      <xdr:colOff>562356</xdr:colOff>
      <xdr:row>14</xdr:row>
      <xdr:rowOff>89916</xdr:rowOff>
    </xdr:to>
    <xdr:sp macro="" textlink="">
      <xdr:nvSpPr>
        <xdr:cNvPr id="12" name="Shape 13">
          <a:extLst>
            <a:ext uri="{FF2B5EF4-FFF2-40B4-BE49-F238E27FC236}">
              <a16:creationId xmlns:a16="http://schemas.microsoft.com/office/drawing/2014/main" id="{3F9DFDA7-25E9-2D36-3117-A9197E6978D7}"/>
            </a:ext>
          </a:extLst>
        </xdr:cNvPr>
        <xdr:cNvSpPr/>
      </xdr:nvSpPr>
      <xdr:spPr>
        <a:xfrm>
          <a:off x="281940" y="1991868"/>
          <a:ext cx="8814816" cy="658368"/>
        </a:xfrm>
        <a:prstGeom prst="rect">
          <a:avLst/>
        </a:prstGeom>
        <a:solidFill>
          <a:srgbClr val="FFFFFF"/>
        </a:solidFill>
        <a:ln w="6350">
          <a:solidFill>
            <a:srgbClr val="D3D1C7"/>
          </a:solidFill>
          <a:prstDash val="solid"/>
        </a:ln>
        <a:effectLst>
          <a:outerShdw blurRad="101600" dist="25400" dir="8100000" algn="bl" rotWithShape="0">
            <a:srgbClr val="000000">
              <a:alpha val="7000"/>
            </a:srgbClr>
          </a:outerShdw>
        </a:effectLst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373380</xdr:colOff>
      <xdr:row>11</xdr:row>
      <xdr:rowOff>135636</xdr:rowOff>
    </xdr:from>
    <xdr:to>
      <xdr:col>1</xdr:col>
      <xdr:colOff>92964</xdr:colOff>
      <xdr:row>13</xdr:row>
      <xdr:rowOff>99060</xdr:rowOff>
    </xdr:to>
    <xdr:sp macro="" textlink="">
      <xdr:nvSpPr>
        <xdr:cNvPr id="13" name="Shape 14">
          <a:extLst>
            <a:ext uri="{FF2B5EF4-FFF2-40B4-BE49-F238E27FC236}">
              <a16:creationId xmlns:a16="http://schemas.microsoft.com/office/drawing/2014/main" id="{5CFD361A-0F81-DA4C-8A30-D819D7776662}"/>
            </a:ext>
          </a:extLst>
        </xdr:cNvPr>
        <xdr:cNvSpPr/>
      </xdr:nvSpPr>
      <xdr:spPr>
        <a:xfrm>
          <a:off x="373380" y="2147316"/>
          <a:ext cx="329184" cy="329184"/>
        </a:xfrm>
        <a:prstGeom prst="ellipse">
          <a:avLst/>
        </a:prstGeom>
        <a:solidFill>
          <a:srgbClr val="534AB7"/>
        </a:solidFill>
        <a:ln w="12700">
          <a:solidFill>
            <a:srgbClr val="534AB7"/>
          </a:solidFill>
          <a:prstDash val="solid"/>
        </a:ln>
      </xdr:spPr>
      <xdr:txBody>
        <a:bodyPr wrap="square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>
              <a:solidFill>
                <a:schemeClr val="bg1"/>
              </a:solidFill>
            </a:rPr>
            <a:t>2</a:t>
          </a:r>
        </a:p>
      </xdr:txBody>
    </xdr:sp>
    <xdr:clientData/>
  </xdr:twoCellAnchor>
  <xdr:twoCellAnchor>
    <xdr:from>
      <xdr:col>1</xdr:col>
      <xdr:colOff>217932</xdr:colOff>
      <xdr:row>11</xdr:row>
      <xdr:rowOff>120396</xdr:rowOff>
    </xdr:from>
    <xdr:to>
      <xdr:col>14</xdr:col>
      <xdr:colOff>431292</xdr:colOff>
      <xdr:row>12</xdr:row>
      <xdr:rowOff>138684</xdr:rowOff>
    </xdr:to>
    <xdr:sp macro="" textlink="">
      <xdr:nvSpPr>
        <xdr:cNvPr id="15" name="Text 16">
          <a:extLst>
            <a:ext uri="{FF2B5EF4-FFF2-40B4-BE49-F238E27FC236}">
              <a16:creationId xmlns:a16="http://schemas.microsoft.com/office/drawing/2014/main" id="{2B7F7AF7-FBAA-09C0-BD30-A019BE7FC06B}"/>
            </a:ext>
          </a:extLst>
        </xdr:cNvPr>
        <xdr:cNvSpPr/>
      </xdr:nvSpPr>
      <xdr:spPr>
        <a:xfrm>
          <a:off x="827532" y="2132076"/>
          <a:ext cx="8138160" cy="201168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100" b="1">
              <a:solidFill>
                <a:srgbClr val="1A1D3A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Target female and non-binary riders with safety campaigns</a:t>
          </a:r>
        </a:p>
      </xdr:txBody>
    </xdr:sp>
    <xdr:clientData/>
  </xdr:twoCellAnchor>
  <xdr:twoCellAnchor>
    <xdr:from>
      <xdr:col>1</xdr:col>
      <xdr:colOff>195072</xdr:colOff>
      <xdr:row>12</xdr:row>
      <xdr:rowOff>132588</xdr:rowOff>
    </xdr:from>
    <xdr:to>
      <xdr:col>14</xdr:col>
      <xdr:colOff>408432</xdr:colOff>
      <xdr:row>14</xdr:row>
      <xdr:rowOff>96012</xdr:rowOff>
    </xdr:to>
    <xdr:sp macro="" textlink="">
      <xdr:nvSpPr>
        <xdr:cNvPr id="16" name="Text 17">
          <a:extLst>
            <a:ext uri="{FF2B5EF4-FFF2-40B4-BE49-F238E27FC236}">
              <a16:creationId xmlns:a16="http://schemas.microsoft.com/office/drawing/2014/main" id="{06566B32-ABE0-D648-6FB4-899054C44F65}"/>
            </a:ext>
          </a:extLst>
        </xdr:cNvPr>
        <xdr:cNvSpPr/>
      </xdr:nvSpPr>
      <xdr:spPr>
        <a:xfrm>
          <a:off x="804672" y="2327148"/>
          <a:ext cx="8138160" cy="329184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85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Male riders account for 74% of ridership while female (15%) and others (11%) are significantly underrepresented. Improved lighting, safety features, and targeted marketing could close this gap.</a:t>
          </a:r>
        </a:p>
      </xdr:txBody>
    </xdr:sp>
    <xdr:clientData/>
  </xdr:twoCellAnchor>
  <xdr:twoCellAnchor>
    <xdr:from>
      <xdr:col>0</xdr:col>
      <xdr:colOff>281940</xdr:colOff>
      <xdr:row>14</xdr:row>
      <xdr:rowOff>181356</xdr:rowOff>
    </xdr:from>
    <xdr:to>
      <xdr:col>14</xdr:col>
      <xdr:colOff>562356</xdr:colOff>
      <xdr:row>18</xdr:row>
      <xdr:rowOff>108204</xdr:rowOff>
    </xdr:to>
    <xdr:sp macro="" textlink="">
      <xdr:nvSpPr>
        <xdr:cNvPr id="17" name="Shape 18">
          <a:extLst>
            <a:ext uri="{FF2B5EF4-FFF2-40B4-BE49-F238E27FC236}">
              <a16:creationId xmlns:a16="http://schemas.microsoft.com/office/drawing/2014/main" id="{9E9BDCA8-FB07-DD81-A7A5-AB9E8D6A81EE}"/>
            </a:ext>
          </a:extLst>
        </xdr:cNvPr>
        <xdr:cNvSpPr/>
      </xdr:nvSpPr>
      <xdr:spPr>
        <a:xfrm>
          <a:off x="281940" y="2741676"/>
          <a:ext cx="8814816" cy="658368"/>
        </a:xfrm>
        <a:prstGeom prst="rect">
          <a:avLst/>
        </a:prstGeom>
        <a:solidFill>
          <a:srgbClr val="FFFFFF"/>
        </a:solidFill>
        <a:ln w="6350">
          <a:solidFill>
            <a:srgbClr val="D3D1C7"/>
          </a:solidFill>
          <a:prstDash val="solid"/>
        </a:ln>
        <a:effectLst>
          <a:outerShdw blurRad="101600" dist="25400" dir="8100000" algn="bl" rotWithShape="0">
            <a:srgbClr val="000000">
              <a:alpha val="7000"/>
            </a:srgbClr>
          </a:outerShdw>
        </a:effectLst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373380</xdr:colOff>
      <xdr:row>15</xdr:row>
      <xdr:rowOff>153924</xdr:rowOff>
    </xdr:from>
    <xdr:to>
      <xdr:col>1</xdr:col>
      <xdr:colOff>92964</xdr:colOff>
      <xdr:row>17</xdr:row>
      <xdr:rowOff>117348</xdr:rowOff>
    </xdr:to>
    <xdr:sp macro="" textlink="">
      <xdr:nvSpPr>
        <xdr:cNvPr id="18" name="Shape 19">
          <a:extLst>
            <a:ext uri="{FF2B5EF4-FFF2-40B4-BE49-F238E27FC236}">
              <a16:creationId xmlns:a16="http://schemas.microsoft.com/office/drawing/2014/main" id="{835CD4DF-CCE9-EA16-B95D-F19DECEC8373}"/>
            </a:ext>
          </a:extLst>
        </xdr:cNvPr>
        <xdr:cNvSpPr/>
      </xdr:nvSpPr>
      <xdr:spPr>
        <a:xfrm>
          <a:off x="373380" y="2897124"/>
          <a:ext cx="329184" cy="329184"/>
        </a:xfrm>
        <a:prstGeom prst="ellipse">
          <a:avLst/>
        </a:prstGeom>
        <a:solidFill>
          <a:srgbClr val="534AB7"/>
        </a:solidFill>
        <a:ln w="12700">
          <a:solidFill>
            <a:srgbClr val="534AB7"/>
          </a:solidFill>
          <a:prstDash val="solid"/>
        </a:ln>
      </xdr:spPr>
      <xdr:txBody>
        <a:bodyPr wrap="square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>
              <a:solidFill>
                <a:schemeClr val="bg1"/>
              </a:solidFill>
            </a:rPr>
            <a:t>3</a:t>
          </a:r>
        </a:p>
      </xdr:txBody>
    </xdr:sp>
    <xdr:clientData/>
  </xdr:twoCellAnchor>
  <xdr:twoCellAnchor>
    <xdr:from>
      <xdr:col>1</xdr:col>
      <xdr:colOff>195072</xdr:colOff>
      <xdr:row>15</xdr:row>
      <xdr:rowOff>131064</xdr:rowOff>
    </xdr:from>
    <xdr:to>
      <xdr:col>14</xdr:col>
      <xdr:colOff>408432</xdr:colOff>
      <xdr:row>16</xdr:row>
      <xdr:rowOff>149352</xdr:rowOff>
    </xdr:to>
    <xdr:sp macro="" textlink="">
      <xdr:nvSpPr>
        <xdr:cNvPr id="20" name="Text 21">
          <a:extLst>
            <a:ext uri="{FF2B5EF4-FFF2-40B4-BE49-F238E27FC236}">
              <a16:creationId xmlns:a16="http://schemas.microsoft.com/office/drawing/2014/main" id="{63B98C77-897A-B9DD-AECD-675834B69C6F}"/>
            </a:ext>
          </a:extLst>
        </xdr:cNvPr>
        <xdr:cNvSpPr/>
      </xdr:nvSpPr>
      <xdr:spPr>
        <a:xfrm>
          <a:off x="804672" y="2874264"/>
          <a:ext cx="8138160" cy="201168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100" b="1">
              <a:solidFill>
                <a:srgbClr val="1A1D3A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Introduce off-peak discounts for students and retirees</a:t>
          </a:r>
        </a:p>
      </xdr:txBody>
    </xdr:sp>
    <xdr:clientData/>
  </xdr:twoCellAnchor>
  <xdr:twoCellAnchor>
    <xdr:from>
      <xdr:col>1</xdr:col>
      <xdr:colOff>202692</xdr:colOff>
      <xdr:row>16</xdr:row>
      <xdr:rowOff>89916</xdr:rowOff>
    </xdr:from>
    <xdr:to>
      <xdr:col>14</xdr:col>
      <xdr:colOff>416052</xdr:colOff>
      <xdr:row>18</xdr:row>
      <xdr:rowOff>53340</xdr:rowOff>
    </xdr:to>
    <xdr:sp macro="" textlink="">
      <xdr:nvSpPr>
        <xdr:cNvPr id="21" name="Text 22">
          <a:extLst>
            <a:ext uri="{FF2B5EF4-FFF2-40B4-BE49-F238E27FC236}">
              <a16:creationId xmlns:a16="http://schemas.microsoft.com/office/drawing/2014/main" id="{98350352-5E39-A578-F299-CFE22CB835C3}"/>
            </a:ext>
          </a:extLst>
        </xdr:cNvPr>
        <xdr:cNvSpPr/>
      </xdr:nvSpPr>
      <xdr:spPr>
        <a:xfrm>
          <a:off x="812292" y="3015996"/>
          <a:ext cx="8138160" cy="329184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85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Students peak at 8:57 PM and Retired at 8:50 AM - completely non-overlapping windows. Discounted fares during these times will grow both segments (currently 479 and 589 riders) without adding capacity costs.</a:t>
          </a:r>
        </a:p>
      </xdr:txBody>
    </xdr:sp>
    <xdr:clientData/>
  </xdr:twoCellAnchor>
  <xdr:twoCellAnchor>
    <xdr:from>
      <xdr:col>0</xdr:col>
      <xdr:colOff>281940</xdr:colOff>
      <xdr:row>19</xdr:row>
      <xdr:rowOff>16764</xdr:rowOff>
    </xdr:from>
    <xdr:to>
      <xdr:col>14</xdr:col>
      <xdr:colOff>562356</xdr:colOff>
      <xdr:row>22</xdr:row>
      <xdr:rowOff>126492</xdr:rowOff>
    </xdr:to>
    <xdr:sp macro="" textlink="">
      <xdr:nvSpPr>
        <xdr:cNvPr id="22" name="Shape 23">
          <a:extLst>
            <a:ext uri="{FF2B5EF4-FFF2-40B4-BE49-F238E27FC236}">
              <a16:creationId xmlns:a16="http://schemas.microsoft.com/office/drawing/2014/main" id="{A207F8C9-8014-9DD0-990B-F54F2958A2F5}"/>
            </a:ext>
          </a:extLst>
        </xdr:cNvPr>
        <xdr:cNvSpPr/>
      </xdr:nvSpPr>
      <xdr:spPr>
        <a:xfrm>
          <a:off x="281940" y="3491484"/>
          <a:ext cx="8814816" cy="658368"/>
        </a:xfrm>
        <a:prstGeom prst="rect">
          <a:avLst/>
        </a:prstGeom>
        <a:solidFill>
          <a:srgbClr val="FFFFFF"/>
        </a:solidFill>
        <a:ln w="6350">
          <a:solidFill>
            <a:srgbClr val="D3D1C7"/>
          </a:solidFill>
          <a:prstDash val="solid"/>
        </a:ln>
        <a:effectLst>
          <a:outerShdw blurRad="101600" dist="25400" dir="8100000" algn="bl" rotWithShape="0">
            <a:srgbClr val="000000">
              <a:alpha val="7000"/>
            </a:srgbClr>
          </a:outerShdw>
        </a:effectLst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373380</xdr:colOff>
      <xdr:row>19</xdr:row>
      <xdr:rowOff>172212</xdr:rowOff>
    </xdr:from>
    <xdr:to>
      <xdr:col>1</xdr:col>
      <xdr:colOff>92964</xdr:colOff>
      <xdr:row>21</xdr:row>
      <xdr:rowOff>135636</xdr:rowOff>
    </xdr:to>
    <xdr:sp macro="" textlink="">
      <xdr:nvSpPr>
        <xdr:cNvPr id="23" name="Shape 24">
          <a:extLst>
            <a:ext uri="{FF2B5EF4-FFF2-40B4-BE49-F238E27FC236}">
              <a16:creationId xmlns:a16="http://schemas.microsoft.com/office/drawing/2014/main" id="{46FABF7F-9FF6-983E-09D3-BC93BDD5AEE7}"/>
            </a:ext>
          </a:extLst>
        </xdr:cNvPr>
        <xdr:cNvSpPr/>
      </xdr:nvSpPr>
      <xdr:spPr>
        <a:xfrm>
          <a:off x="373380" y="3646932"/>
          <a:ext cx="329184" cy="329184"/>
        </a:xfrm>
        <a:prstGeom prst="ellipse">
          <a:avLst/>
        </a:prstGeom>
        <a:solidFill>
          <a:srgbClr val="534AB7"/>
        </a:solidFill>
        <a:ln w="12700">
          <a:solidFill>
            <a:srgbClr val="534AB7"/>
          </a:solidFill>
          <a:prstDash val="solid"/>
        </a:ln>
      </xdr:spPr>
      <xdr:txBody>
        <a:bodyPr wrap="square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>
              <a:solidFill>
                <a:schemeClr val="bg1"/>
              </a:solidFill>
            </a:rPr>
            <a:t>4</a:t>
          </a:r>
        </a:p>
      </xdr:txBody>
    </xdr:sp>
    <xdr:clientData/>
  </xdr:twoCellAnchor>
  <xdr:twoCellAnchor>
    <xdr:from>
      <xdr:col>1</xdr:col>
      <xdr:colOff>217932</xdr:colOff>
      <xdr:row>19</xdr:row>
      <xdr:rowOff>164592</xdr:rowOff>
    </xdr:from>
    <xdr:to>
      <xdr:col>14</xdr:col>
      <xdr:colOff>431292</xdr:colOff>
      <xdr:row>21</xdr:row>
      <xdr:rowOff>0</xdr:rowOff>
    </xdr:to>
    <xdr:sp macro="" textlink="">
      <xdr:nvSpPr>
        <xdr:cNvPr id="25" name="Text 26">
          <a:extLst>
            <a:ext uri="{FF2B5EF4-FFF2-40B4-BE49-F238E27FC236}">
              <a16:creationId xmlns:a16="http://schemas.microsoft.com/office/drawing/2014/main" id="{E313D689-73F0-A9A7-8C51-426AF5972D5C}"/>
            </a:ext>
          </a:extLst>
        </xdr:cNvPr>
        <xdr:cNvSpPr/>
      </xdr:nvSpPr>
      <xdr:spPr>
        <a:xfrm>
          <a:off x="827532" y="3639312"/>
          <a:ext cx="8138160" cy="201168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100" b="1">
              <a:solidFill>
                <a:srgbClr val="1A1D3A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Align schedules with occupational peak times</a:t>
          </a:r>
        </a:p>
      </xdr:txBody>
    </xdr:sp>
    <xdr:clientData/>
  </xdr:twoCellAnchor>
  <xdr:twoCellAnchor>
    <xdr:from>
      <xdr:col>1</xdr:col>
      <xdr:colOff>202692</xdr:colOff>
      <xdr:row>20</xdr:row>
      <xdr:rowOff>108204</xdr:rowOff>
    </xdr:from>
    <xdr:to>
      <xdr:col>14</xdr:col>
      <xdr:colOff>533400</xdr:colOff>
      <xdr:row>22</xdr:row>
      <xdr:rowOff>71628</xdr:rowOff>
    </xdr:to>
    <xdr:sp macro="" textlink="">
      <xdr:nvSpPr>
        <xdr:cNvPr id="26" name="Text 27">
          <a:extLst>
            <a:ext uri="{FF2B5EF4-FFF2-40B4-BE49-F238E27FC236}">
              <a16:creationId xmlns:a16="http://schemas.microsoft.com/office/drawing/2014/main" id="{F1298CFF-4877-FC77-FEE5-F2BA45CC5884}"/>
            </a:ext>
          </a:extLst>
        </xdr:cNvPr>
        <xdr:cNvSpPr/>
      </xdr:nvSpPr>
      <xdr:spPr>
        <a:xfrm>
          <a:off x="812292" y="3765804"/>
          <a:ext cx="8255508" cy="329184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85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Professionals peak at 11:41 AM and Self-Employed at 4:55 PM — together 2,875 riders. Express routes timed to these windows will improve retention of this high-frequency demographic.</a:t>
          </a:r>
        </a:p>
      </xdr:txBody>
    </xdr:sp>
    <xdr:clientData/>
  </xdr:twoCellAnchor>
  <xdr:twoCellAnchor>
    <xdr:from>
      <xdr:col>0</xdr:col>
      <xdr:colOff>281940</xdr:colOff>
      <xdr:row>23</xdr:row>
      <xdr:rowOff>35052</xdr:rowOff>
    </xdr:from>
    <xdr:to>
      <xdr:col>14</xdr:col>
      <xdr:colOff>562356</xdr:colOff>
      <xdr:row>26</xdr:row>
      <xdr:rowOff>144780</xdr:rowOff>
    </xdr:to>
    <xdr:sp macro="" textlink="">
      <xdr:nvSpPr>
        <xdr:cNvPr id="27" name="Shape 28">
          <a:extLst>
            <a:ext uri="{FF2B5EF4-FFF2-40B4-BE49-F238E27FC236}">
              <a16:creationId xmlns:a16="http://schemas.microsoft.com/office/drawing/2014/main" id="{147D446B-AEF1-9E5D-C406-0FACB3101E64}"/>
            </a:ext>
          </a:extLst>
        </xdr:cNvPr>
        <xdr:cNvSpPr/>
      </xdr:nvSpPr>
      <xdr:spPr>
        <a:xfrm>
          <a:off x="281940" y="4241292"/>
          <a:ext cx="8814816" cy="658368"/>
        </a:xfrm>
        <a:prstGeom prst="rect">
          <a:avLst/>
        </a:prstGeom>
        <a:solidFill>
          <a:srgbClr val="FFFFFF"/>
        </a:solidFill>
        <a:ln w="6350">
          <a:solidFill>
            <a:srgbClr val="D3D1C7"/>
          </a:solidFill>
          <a:prstDash val="solid"/>
        </a:ln>
        <a:effectLst>
          <a:outerShdw blurRad="101600" dist="25400" dir="8100000" algn="bl" rotWithShape="0">
            <a:srgbClr val="000000">
              <a:alpha val="7000"/>
            </a:srgbClr>
          </a:outerShdw>
        </a:effectLst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373380</xdr:colOff>
      <xdr:row>24</xdr:row>
      <xdr:rowOff>7620</xdr:rowOff>
    </xdr:from>
    <xdr:to>
      <xdr:col>1</xdr:col>
      <xdr:colOff>92964</xdr:colOff>
      <xdr:row>25</xdr:row>
      <xdr:rowOff>153924</xdr:rowOff>
    </xdr:to>
    <xdr:sp macro="" textlink="">
      <xdr:nvSpPr>
        <xdr:cNvPr id="28" name="Shape 29">
          <a:extLst>
            <a:ext uri="{FF2B5EF4-FFF2-40B4-BE49-F238E27FC236}">
              <a16:creationId xmlns:a16="http://schemas.microsoft.com/office/drawing/2014/main" id="{0C73331D-AA80-3C92-ED88-78903DF584B9}"/>
            </a:ext>
          </a:extLst>
        </xdr:cNvPr>
        <xdr:cNvSpPr/>
      </xdr:nvSpPr>
      <xdr:spPr>
        <a:xfrm>
          <a:off x="373380" y="4396740"/>
          <a:ext cx="329184" cy="329184"/>
        </a:xfrm>
        <a:prstGeom prst="ellipse">
          <a:avLst/>
        </a:prstGeom>
        <a:solidFill>
          <a:srgbClr val="534AB7"/>
        </a:solidFill>
        <a:ln w="12700">
          <a:solidFill>
            <a:srgbClr val="534AB7"/>
          </a:solidFill>
          <a:prstDash val="solid"/>
        </a:ln>
      </xdr:spPr>
      <xdr:txBody>
        <a:bodyPr wrap="square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>
              <a:solidFill>
                <a:schemeClr val="bg1"/>
              </a:solidFill>
            </a:rPr>
            <a:t>5</a:t>
          </a:r>
        </a:p>
      </xdr:txBody>
    </xdr:sp>
    <xdr:clientData/>
  </xdr:twoCellAnchor>
  <xdr:twoCellAnchor>
    <xdr:from>
      <xdr:col>1</xdr:col>
      <xdr:colOff>187452</xdr:colOff>
      <xdr:row>23</xdr:row>
      <xdr:rowOff>152400</xdr:rowOff>
    </xdr:from>
    <xdr:to>
      <xdr:col>14</xdr:col>
      <xdr:colOff>400812</xdr:colOff>
      <xdr:row>24</xdr:row>
      <xdr:rowOff>170688</xdr:rowOff>
    </xdr:to>
    <xdr:sp macro="" textlink="">
      <xdr:nvSpPr>
        <xdr:cNvPr id="30" name="Text 31">
          <a:extLst>
            <a:ext uri="{FF2B5EF4-FFF2-40B4-BE49-F238E27FC236}">
              <a16:creationId xmlns:a16="http://schemas.microsoft.com/office/drawing/2014/main" id="{178F75D9-01B5-D441-20FF-6CCE4E6DB417}"/>
            </a:ext>
          </a:extLst>
        </xdr:cNvPr>
        <xdr:cNvSpPr/>
      </xdr:nvSpPr>
      <xdr:spPr>
        <a:xfrm>
          <a:off x="797052" y="4358640"/>
          <a:ext cx="8138160" cy="201168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100" b="1">
              <a:solidFill>
                <a:srgbClr val="1A1D3A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Evaluate or reassign bottom 5 underperforming buses</a:t>
          </a:r>
        </a:p>
      </xdr:txBody>
    </xdr:sp>
    <xdr:clientData/>
  </xdr:twoCellAnchor>
  <xdr:twoCellAnchor>
    <xdr:from>
      <xdr:col>1</xdr:col>
      <xdr:colOff>202692</xdr:colOff>
      <xdr:row>24</xdr:row>
      <xdr:rowOff>126492</xdr:rowOff>
    </xdr:from>
    <xdr:to>
      <xdr:col>14</xdr:col>
      <xdr:colOff>416052</xdr:colOff>
      <xdr:row>26</xdr:row>
      <xdr:rowOff>89916</xdr:rowOff>
    </xdr:to>
    <xdr:sp macro="" textlink="">
      <xdr:nvSpPr>
        <xdr:cNvPr id="31" name="Text 32">
          <a:extLst>
            <a:ext uri="{FF2B5EF4-FFF2-40B4-BE49-F238E27FC236}">
              <a16:creationId xmlns:a16="http://schemas.microsoft.com/office/drawing/2014/main" id="{71FD12B6-BFBB-FE01-E6C9-A269173597C2}"/>
            </a:ext>
          </a:extLst>
        </xdr:cNvPr>
        <xdr:cNvSpPr/>
      </xdr:nvSpPr>
      <xdr:spPr>
        <a:xfrm>
          <a:off x="812292" y="4515612"/>
          <a:ext cx="8138160" cy="329184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85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Bus 26, 19, 14, and 13 average only 57–89 riders versus the fleet average of 165. Reassigning these to busier routes like East-West Express could significantly improve overall efficiency.</a:t>
          </a:r>
        </a:p>
      </xdr:txBody>
    </xdr:sp>
    <xdr:clientData/>
  </xdr:twoCellAnchor>
  <xdr:twoCellAnchor>
    <xdr:from>
      <xdr:col>0</xdr:col>
      <xdr:colOff>152400</xdr:colOff>
      <xdr:row>0</xdr:row>
      <xdr:rowOff>106680</xdr:rowOff>
    </xdr:from>
    <xdr:to>
      <xdr:col>23</xdr:col>
      <xdr:colOff>297180</xdr:colOff>
      <xdr:row>3</xdr:row>
      <xdr:rowOff>33528</xdr:rowOff>
    </xdr:to>
    <xdr:sp macro="" textlink="">
      <xdr:nvSpPr>
        <xdr:cNvPr id="4" name="Shape 0">
          <a:extLst>
            <a:ext uri="{FF2B5EF4-FFF2-40B4-BE49-F238E27FC236}">
              <a16:creationId xmlns:a16="http://schemas.microsoft.com/office/drawing/2014/main" id="{1E47AF9E-3902-4D0E-B794-859D3153A482}"/>
            </a:ext>
          </a:extLst>
        </xdr:cNvPr>
        <xdr:cNvSpPr/>
      </xdr:nvSpPr>
      <xdr:spPr>
        <a:xfrm>
          <a:off x="152400" y="106680"/>
          <a:ext cx="14165580" cy="475488"/>
        </a:xfrm>
        <a:prstGeom prst="roundRect">
          <a:avLst/>
        </a:prstGeom>
        <a:solidFill>
          <a:srgbClr val="3C3489"/>
        </a:solidFill>
        <a:ln w="12700">
          <a:solidFill>
            <a:srgbClr val="3C3489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220980</xdr:colOff>
      <xdr:row>0</xdr:row>
      <xdr:rowOff>160020</xdr:rowOff>
    </xdr:from>
    <xdr:to>
      <xdr:col>4</xdr:col>
      <xdr:colOff>274320</xdr:colOff>
      <xdr:row>2</xdr:row>
      <xdr:rowOff>141732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25F9CA17-DEA8-4309-A6AC-082F581C91D8}"/>
            </a:ext>
          </a:extLst>
        </xdr:cNvPr>
        <xdr:cNvSpPr/>
      </xdr:nvSpPr>
      <xdr:spPr>
        <a:xfrm>
          <a:off x="220980" y="160020"/>
          <a:ext cx="2491740" cy="347472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300" b="1">
              <a:solidFill>
                <a:srgbClr val="EEEDFE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TransitPulse - </a:t>
          </a:r>
          <a:r>
            <a:rPr kumimoji="0" lang="en-US" sz="1300" b="1" i="0" u="none" strike="noStrike" kern="0" cap="none" spc="0" normalizeH="0" baseline="0" noProof="0">
              <a:ln>
                <a:noFill/>
              </a:ln>
              <a:solidFill>
                <a:srgbClr val="AFA9EC"/>
              </a:solidFill>
              <a:effectLst/>
              <a:uLnTx/>
              <a:uFillTx/>
              <a:latin typeface="Calibri" pitchFamily="34" charset="0"/>
              <a:ea typeface="Calibri" pitchFamily="34" charset="-122"/>
              <a:cs typeface="Calibri" pitchFamily="34" charset="-120"/>
            </a:rPr>
            <a:t>Recommendations</a:t>
          </a:r>
          <a:endParaRPr lang="en-US" sz="13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0</xdr:row>
      <xdr:rowOff>144780</xdr:rowOff>
    </xdr:from>
    <xdr:to>
      <xdr:col>23</xdr:col>
      <xdr:colOff>320040</xdr:colOff>
      <xdr:row>3</xdr:row>
      <xdr:rowOff>71628</xdr:rowOff>
    </xdr:to>
    <xdr:sp macro="" textlink="">
      <xdr:nvSpPr>
        <xdr:cNvPr id="2" name="Shape 0">
          <a:extLst>
            <a:ext uri="{FF2B5EF4-FFF2-40B4-BE49-F238E27FC236}">
              <a16:creationId xmlns:a16="http://schemas.microsoft.com/office/drawing/2014/main" id="{117FA4C6-4E00-F642-A513-F260182C1297}"/>
            </a:ext>
          </a:extLst>
        </xdr:cNvPr>
        <xdr:cNvSpPr/>
      </xdr:nvSpPr>
      <xdr:spPr>
        <a:xfrm>
          <a:off x="175260" y="144780"/>
          <a:ext cx="14165580" cy="475488"/>
        </a:xfrm>
        <a:prstGeom prst="roundRect">
          <a:avLst/>
        </a:prstGeom>
        <a:solidFill>
          <a:srgbClr val="3C3489"/>
        </a:solidFill>
        <a:ln w="12700">
          <a:solidFill>
            <a:srgbClr val="3C3489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243840</xdr:colOff>
      <xdr:row>1</xdr:row>
      <xdr:rowOff>15240</xdr:rowOff>
    </xdr:from>
    <xdr:to>
      <xdr:col>4</xdr:col>
      <xdr:colOff>0</xdr:colOff>
      <xdr:row>2</xdr:row>
      <xdr:rowOff>179832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C9C10827-42B7-092D-6F99-780899B2791A}"/>
            </a:ext>
          </a:extLst>
        </xdr:cNvPr>
        <xdr:cNvSpPr/>
      </xdr:nvSpPr>
      <xdr:spPr>
        <a:xfrm>
          <a:off x="243840" y="198120"/>
          <a:ext cx="2194560" cy="347472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300" b="1">
              <a:solidFill>
                <a:srgbClr val="EEEDFE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TransitPulse - </a:t>
          </a:r>
          <a:r>
            <a:rPr kumimoji="0" lang="en-US" sz="1300" b="1" i="0" u="none" strike="noStrike" kern="0" cap="none" spc="0" normalizeH="0" baseline="0" noProof="0">
              <a:ln>
                <a:noFill/>
              </a:ln>
              <a:solidFill>
                <a:srgbClr val="AFA9EC"/>
              </a:solidFill>
              <a:effectLst/>
              <a:uLnTx/>
              <a:uFillTx/>
              <a:latin typeface="Calibri" pitchFamily="34" charset="0"/>
              <a:ea typeface="Calibri" pitchFamily="34" charset="-122"/>
              <a:cs typeface="Calibri" pitchFamily="34" charset="-120"/>
            </a:rPr>
            <a:t>Operations</a:t>
          </a:r>
          <a:endParaRPr lang="en-US" sz="1300"/>
        </a:p>
      </xdr:txBody>
    </xdr:sp>
    <xdr:clientData/>
  </xdr:twoCellAnchor>
  <xdr:twoCellAnchor>
    <xdr:from>
      <xdr:col>0</xdr:col>
      <xdr:colOff>213360</xdr:colOff>
      <xdr:row>5</xdr:row>
      <xdr:rowOff>15240</xdr:rowOff>
    </xdr:from>
    <xdr:to>
      <xdr:col>5</xdr:col>
      <xdr:colOff>541020</xdr:colOff>
      <xdr:row>9</xdr:row>
      <xdr:rowOff>144780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3CEEA713-2FB7-B635-362F-087F375D8E4C}"/>
            </a:ext>
          </a:extLst>
        </xdr:cNvPr>
        <xdr:cNvGrpSpPr/>
      </xdr:nvGrpSpPr>
      <xdr:grpSpPr>
        <a:xfrm>
          <a:off x="213360" y="929640"/>
          <a:ext cx="3375660" cy="861060"/>
          <a:chOff x="441960" y="952500"/>
          <a:chExt cx="3093720" cy="861060"/>
        </a:xfrm>
      </xdr:grpSpPr>
      <xdr:sp macro="" textlink="">
        <xdr:nvSpPr>
          <xdr:cNvPr id="29" name="Shape 8">
            <a:extLst>
              <a:ext uri="{FF2B5EF4-FFF2-40B4-BE49-F238E27FC236}">
                <a16:creationId xmlns:a16="http://schemas.microsoft.com/office/drawing/2014/main" id="{CA9FFAD0-7FC1-035F-0E88-63A1D0945BF5}"/>
              </a:ext>
            </a:extLst>
          </xdr:cNvPr>
          <xdr:cNvSpPr/>
        </xdr:nvSpPr>
        <xdr:spPr>
          <a:xfrm>
            <a:off x="441960" y="998220"/>
            <a:ext cx="3093720" cy="815340"/>
          </a:xfrm>
          <a:prstGeom prst="rect">
            <a:avLst/>
          </a:prstGeom>
          <a:solidFill>
            <a:srgbClr val="FFFFFF"/>
          </a:solidFill>
          <a:ln w="6350">
            <a:solidFill>
              <a:srgbClr val="D3D1C7"/>
            </a:solidFill>
            <a:prstDash val="solid"/>
          </a:ln>
          <a:effectLst>
            <a:outerShdw blurRad="101600" dist="25400" dir="8100000" algn="bl" rotWithShape="0">
              <a:srgbClr val="000000">
                <a:alpha val="7000"/>
              </a:srgbClr>
            </a:outerShdw>
          </a:effectLst>
        </xdr:spPr>
        <xdr:txBody>
          <a:bodyPr wrap="square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0" name="Shape 9">
            <a:extLst>
              <a:ext uri="{FF2B5EF4-FFF2-40B4-BE49-F238E27FC236}">
                <a16:creationId xmlns:a16="http://schemas.microsoft.com/office/drawing/2014/main" id="{2C977607-9DA8-DB1D-4BD0-C5498921BFC7}"/>
              </a:ext>
            </a:extLst>
          </xdr:cNvPr>
          <xdr:cNvSpPr/>
        </xdr:nvSpPr>
        <xdr:spPr>
          <a:xfrm>
            <a:off x="449580" y="952500"/>
            <a:ext cx="3086100" cy="53340"/>
          </a:xfrm>
          <a:prstGeom prst="rect">
            <a:avLst/>
          </a:prstGeom>
          <a:solidFill>
            <a:srgbClr val="1D9E75"/>
          </a:solidFill>
          <a:ln w="12700">
            <a:solidFill>
              <a:srgbClr val="1D9E75"/>
            </a:solidFill>
            <a:prstDash val="solid"/>
          </a:ln>
        </xdr:spPr>
        <xdr:txBody>
          <a:bodyPr wrap="square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" name="Text 10">
            <a:extLst>
              <a:ext uri="{FF2B5EF4-FFF2-40B4-BE49-F238E27FC236}">
                <a16:creationId xmlns:a16="http://schemas.microsoft.com/office/drawing/2014/main" id="{9DE9DF71-5C06-CCD5-E50C-D37A51F0E8DB}"/>
              </a:ext>
            </a:extLst>
          </xdr:cNvPr>
          <xdr:cNvSpPr/>
        </xdr:nvSpPr>
        <xdr:spPr>
          <a:xfrm>
            <a:off x="539730" y="1144524"/>
            <a:ext cx="2947065" cy="112776"/>
          </a:xfrm>
          <a:prstGeom prst="rect">
            <a:avLst/>
          </a:prstGeom>
          <a:noFill/>
          <a:ln/>
        </xdr:spPr>
        <xdr:txBody>
          <a:bodyPr wrap="square" lIns="0" tIns="0" rIns="0" bIns="0" rtlCol="0" anchor="ctr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None/>
            </a:pPr>
            <a:r>
              <a:rPr lang="en-US" sz="700" kern="0" spc="100">
                <a:solidFill>
                  <a:srgbClr val="888780"/>
                </a:solidFill>
                <a:latin typeface="Calibri" pitchFamily="34" charset="0"/>
                <a:ea typeface="Calibri" pitchFamily="34" charset="-122"/>
                <a:cs typeface="Calibri" pitchFamily="34" charset="-120"/>
              </a:rPr>
              <a:t>TOTAL RIDERS</a:t>
            </a:r>
            <a:endParaRPr lang="en-US" sz="700"/>
          </a:p>
        </xdr:txBody>
      </xdr:sp>
      <xdr:sp macro="" textlink="'Analysis 01'!B9">
        <xdr:nvSpPr>
          <xdr:cNvPr id="32" name="Text 11">
            <a:extLst>
              <a:ext uri="{FF2B5EF4-FFF2-40B4-BE49-F238E27FC236}">
                <a16:creationId xmlns:a16="http://schemas.microsoft.com/office/drawing/2014/main" id="{C4DF522C-186B-3867-D697-15D4227A5C13}"/>
              </a:ext>
            </a:extLst>
          </xdr:cNvPr>
          <xdr:cNvSpPr/>
        </xdr:nvSpPr>
        <xdr:spPr>
          <a:xfrm>
            <a:off x="462911" y="1290828"/>
            <a:ext cx="3058801" cy="310896"/>
          </a:xfrm>
          <a:prstGeom prst="rect">
            <a:avLst/>
          </a:prstGeom>
          <a:noFill/>
          <a:ln/>
        </xdr:spPr>
        <xdr:txBody>
          <a:bodyPr wrap="square" lIns="0" tIns="0" rIns="0" bIns="0" rtlCol="0" anchor="ctr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None/>
            </a:pPr>
            <a:fld id="{3FE379A8-8160-4FBC-9D0D-456343BAE383}" type="TxLink">
              <a:rPr lang="en-US" sz="2200" b="1" i="0" u="none" strike="noStrike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pPr marL="0" indent="0" algn="ctr">
                <a:buNone/>
              </a:pPr>
              <a:t>6,587</a:t>
            </a:fld>
            <a:endParaRPr lang="en-US" sz="22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6</xdr:col>
      <xdr:colOff>122936</xdr:colOff>
      <xdr:row>5</xdr:row>
      <xdr:rowOff>15240</xdr:rowOff>
    </xdr:from>
    <xdr:to>
      <xdr:col>11</xdr:col>
      <xdr:colOff>449072</xdr:colOff>
      <xdr:row>9</xdr:row>
      <xdr:rowOff>144780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B92B91AA-07AF-4C58-BE92-21BEBC540CE5}"/>
            </a:ext>
          </a:extLst>
        </xdr:cNvPr>
        <xdr:cNvGrpSpPr/>
      </xdr:nvGrpSpPr>
      <xdr:grpSpPr>
        <a:xfrm>
          <a:off x="3780536" y="929640"/>
          <a:ext cx="3374136" cy="861060"/>
          <a:chOff x="441960" y="952500"/>
          <a:chExt cx="3093720" cy="861060"/>
        </a:xfrm>
      </xdr:grpSpPr>
      <xdr:sp macro="" textlink="">
        <xdr:nvSpPr>
          <xdr:cNvPr id="37" name="Shape 8">
            <a:extLst>
              <a:ext uri="{FF2B5EF4-FFF2-40B4-BE49-F238E27FC236}">
                <a16:creationId xmlns:a16="http://schemas.microsoft.com/office/drawing/2014/main" id="{1592624C-3728-5214-2AAB-BEDBB72F9024}"/>
              </a:ext>
            </a:extLst>
          </xdr:cNvPr>
          <xdr:cNvSpPr/>
        </xdr:nvSpPr>
        <xdr:spPr>
          <a:xfrm>
            <a:off x="441960" y="998220"/>
            <a:ext cx="3093720" cy="815340"/>
          </a:xfrm>
          <a:prstGeom prst="rect">
            <a:avLst/>
          </a:prstGeom>
          <a:solidFill>
            <a:srgbClr val="FFFFFF"/>
          </a:solidFill>
          <a:ln w="6350">
            <a:solidFill>
              <a:srgbClr val="D3D1C7"/>
            </a:solidFill>
            <a:prstDash val="solid"/>
          </a:ln>
          <a:effectLst>
            <a:outerShdw blurRad="101600" dist="25400" dir="8100000" algn="bl" rotWithShape="0">
              <a:srgbClr val="000000">
                <a:alpha val="7000"/>
              </a:srgbClr>
            </a:outerShdw>
          </a:effectLst>
        </xdr:spPr>
        <xdr:txBody>
          <a:bodyPr wrap="square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8" name="Shape 9">
            <a:extLst>
              <a:ext uri="{FF2B5EF4-FFF2-40B4-BE49-F238E27FC236}">
                <a16:creationId xmlns:a16="http://schemas.microsoft.com/office/drawing/2014/main" id="{6E5C74BD-98FA-5847-F2BB-E0342454F7FA}"/>
              </a:ext>
            </a:extLst>
          </xdr:cNvPr>
          <xdr:cNvSpPr/>
        </xdr:nvSpPr>
        <xdr:spPr>
          <a:xfrm>
            <a:off x="449580" y="952500"/>
            <a:ext cx="3086100" cy="53340"/>
          </a:xfrm>
          <a:prstGeom prst="rect">
            <a:avLst/>
          </a:prstGeom>
          <a:solidFill>
            <a:srgbClr val="534AB7"/>
          </a:solidFill>
          <a:ln w="12700">
            <a:solidFill>
              <a:srgbClr val="534AB7"/>
            </a:solidFill>
            <a:prstDash val="solid"/>
          </a:ln>
        </xdr:spPr>
        <xdr:txBody>
          <a:bodyPr wrap="square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9" name="Text 10">
            <a:extLst>
              <a:ext uri="{FF2B5EF4-FFF2-40B4-BE49-F238E27FC236}">
                <a16:creationId xmlns:a16="http://schemas.microsoft.com/office/drawing/2014/main" id="{2D13F8F6-C2D8-E7B6-CD73-03CA69BCA1FE}"/>
              </a:ext>
            </a:extLst>
          </xdr:cNvPr>
          <xdr:cNvSpPr/>
        </xdr:nvSpPr>
        <xdr:spPr>
          <a:xfrm>
            <a:off x="461989" y="1144524"/>
            <a:ext cx="3060184" cy="166116"/>
          </a:xfrm>
          <a:prstGeom prst="rect">
            <a:avLst/>
          </a:prstGeom>
          <a:noFill/>
          <a:ln/>
        </xdr:spPr>
        <xdr:txBody>
          <a:bodyPr wrap="square" lIns="0" tIns="0" rIns="0" bIns="0" rtlCol="0" anchor="ctr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None/>
            </a:pPr>
            <a:r>
              <a:rPr lang="en-US" sz="700" kern="0" spc="100">
                <a:solidFill>
                  <a:srgbClr val="888780"/>
                </a:solidFill>
                <a:latin typeface="Calibri" pitchFamily="34" charset="0"/>
                <a:ea typeface="Calibri" pitchFamily="34" charset="-122"/>
                <a:cs typeface="Calibri" pitchFamily="34" charset="-120"/>
              </a:rPr>
              <a:t>AVG. RIDERS / TRIP</a:t>
            </a:r>
          </a:p>
        </xdr:txBody>
      </xdr:sp>
      <xdr:sp macro="" textlink="'Analysis 01'!C9">
        <xdr:nvSpPr>
          <xdr:cNvPr id="40" name="Text 11">
            <a:extLst>
              <a:ext uri="{FF2B5EF4-FFF2-40B4-BE49-F238E27FC236}">
                <a16:creationId xmlns:a16="http://schemas.microsoft.com/office/drawing/2014/main" id="{8DBBD0B6-DA17-8BD4-408F-7CFD8F268AD2}"/>
              </a:ext>
            </a:extLst>
          </xdr:cNvPr>
          <xdr:cNvSpPr/>
        </xdr:nvSpPr>
        <xdr:spPr>
          <a:xfrm>
            <a:off x="468975" y="1290828"/>
            <a:ext cx="3046210" cy="310896"/>
          </a:xfrm>
          <a:prstGeom prst="rect">
            <a:avLst/>
          </a:prstGeom>
          <a:noFill/>
          <a:ln/>
        </xdr:spPr>
        <xdr:txBody>
          <a:bodyPr wrap="square" lIns="0" tIns="0" rIns="0" bIns="0" rtlCol="0" anchor="ctr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None/>
            </a:pPr>
            <a:fld id="{7A8FFAA3-7370-417A-982B-1B62DC5382CC}" type="TxLink">
              <a:rPr lang="en-US" sz="2200" b="1" i="0" u="none" strike="noStrike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pPr marL="0" indent="0" algn="ctr">
                <a:buNone/>
              </a:pPr>
              <a:t>33</a:t>
            </a:fld>
            <a:endParaRPr lang="en-US" sz="22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17</xdr:col>
      <xdr:colOff>548640</xdr:colOff>
      <xdr:row>5</xdr:row>
      <xdr:rowOff>15240</xdr:rowOff>
    </xdr:from>
    <xdr:to>
      <xdr:col>23</xdr:col>
      <xdr:colOff>265176</xdr:colOff>
      <xdr:row>9</xdr:row>
      <xdr:rowOff>144780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51FE351A-6A1F-4802-A76F-19F3CDF94082}"/>
            </a:ext>
          </a:extLst>
        </xdr:cNvPr>
        <xdr:cNvGrpSpPr/>
      </xdr:nvGrpSpPr>
      <xdr:grpSpPr>
        <a:xfrm>
          <a:off x="10911840" y="929640"/>
          <a:ext cx="3374136" cy="861060"/>
          <a:chOff x="441960" y="952500"/>
          <a:chExt cx="3093720" cy="861060"/>
        </a:xfrm>
      </xdr:grpSpPr>
      <xdr:sp macro="" textlink="">
        <xdr:nvSpPr>
          <xdr:cNvPr id="46" name="Shape 8">
            <a:extLst>
              <a:ext uri="{FF2B5EF4-FFF2-40B4-BE49-F238E27FC236}">
                <a16:creationId xmlns:a16="http://schemas.microsoft.com/office/drawing/2014/main" id="{29CC6BA1-67AF-5C10-4A39-02CBAF871F1A}"/>
              </a:ext>
            </a:extLst>
          </xdr:cNvPr>
          <xdr:cNvSpPr/>
        </xdr:nvSpPr>
        <xdr:spPr>
          <a:xfrm>
            <a:off x="441960" y="998220"/>
            <a:ext cx="3093720" cy="815340"/>
          </a:xfrm>
          <a:prstGeom prst="rect">
            <a:avLst/>
          </a:prstGeom>
          <a:solidFill>
            <a:srgbClr val="FFFFFF"/>
          </a:solidFill>
          <a:ln w="6350">
            <a:solidFill>
              <a:srgbClr val="D3D1C7"/>
            </a:solidFill>
            <a:prstDash val="solid"/>
          </a:ln>
          <a:effectLst>
            <a:outerShdw blurRad="101600" dist="25400" dir="8100000" algn="bl" rotWithShape="0">
              <a:srgbClr val="000000">
                <a:alpha val="7000"/>
              </a:srgbClr>
            </a:outerShdw>
          </a:effectLst>
        </xdr:spPr>
        <xdr:txBody>
          <a:bodyPr wrap="square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7" name="Shape 9">
            <a:extLst>
              <a:ext uri="{FF2B5EF4-FFF2-40B4-BE49-F238E27FC236}">
                <a16:creationId xmlns:a16="http://schemas.microsoft.com/office/drawing/2014/main" id="{342BD3BA-A1D0-C64E-011D-6AE13FAF0425}"/>
              </a:ext>
            </a:extLst>
          </xdr:cNvPr>
          <xdr:cNvSpPr/>
        </xdr:nvSpPr>
        <xdr:spPr>
          <a:xfrm>
            <a:off x="449580" y="952500"/>
            <a:ext cx="3086100" cy="53340"/>
          </a:xfrm>
          <a:prstGeom prst="rect">
            <a:avLst/>
          </a:prstGeom>
          <a:solidFill>
            <a:srgbClr val="BA7517"/>
          </a:solidFill>
          <a:ln w="12700">
            <a:solidFill>
              <a:srgbClr val="BA7517"/>
            </a:solidFill>
            <a:prstDash val="solid"/>
          </a:ln>
        </xdr:spPr>
        <xdr:txBody>
          <a:bodyPr wrap="square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8" name="Text 10">
            <a:extLst>
              <a:ext uri="{FF2B5EF4-FFF2-40B4-BE49-F238E27FC236}">
                <a16:creationId xmlns:a16="http://schemas.microsoft.com/office/drawing/2014/main" id="{5C855D4E-8C96-929D-020E-3E26F9C696BC}"/>
              </a:ext>
            </a:extLst>
          </xdr:cNvPr>
          <xdr:cNvSpPr/>
        </xdr:nvSpPr>
        <xdr:spPr>
          <a:xfrm>
            <a:off x="455933" y="1144524"/>
            <a:ext cx="3067170" cy="166116"/>
          </a:xfrm>
          <a:prstGeom prst="rect">
            <a:avLst/>
          </a:prstGeom>
          <a:noFill/>
          <a:ln/>
        </xdr:spPr>
        <xdr:txBody>
          <a:bodyPr wrap="square" lIns="0" tIns="0" rIns="0" bIns="0" rtlCol="0" anchor="ctr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None/>
            </a:pPr>
            <a:r>
              <a:rPr lang="en-US" sz="700" kern="0" spc="100">
                <a:solidFill>
                  <a:srgbClr val="888780"/>
                </a:solidFill>
                <a:latin typeface="Calibri" pitchFamily="34" charset="0"/>
                <a:ea typeface="Calibri" pitchFamily="34" charset="-122"/>
                <a:cs typeface="Calibri" pitchFamily="34" charset="-120"/>
              </a:rPr>
              <a:t>LEAST BUSY ROUTE</a:t>
            </a:r>
          </a:p>
        </xdr:txBody>
      </xdr:sp>
      <xdr:sp macro="" textlink="'Analysis 01'!B21">
        <xdr:nvSpPr>
          <xdr:cNvPr id="49" name="Text 11">
            <a:extLst>
              <a:ext uri="{FF2B5EF4-FFF2-40B4-BE49-F238E27FC236}">
                <a16:creationId xmlns:a16="http://schemas.microsoft.com/office/drawing/2014/main" id="{B758411B-8140-D1EB-C318-E6DA7E299AC3}"/>
              </a:ext>
            </a:extLst>
          </xdr:cNvPr>
          <xdr:cNvSpPr/>
        </xdr:nvSpPr>
        <xdr:spPr>
          <a:xfrm>
            <a:off x="469907" y="1290828"/>
            <a:ext cx="3053198" cy="310896"/>
          </a:xfrm>
          <a:prstGeom prst="rect">
            <a:avLst/>
          </a:prstGeom>
          <a:noFill/>
          <a:ln/>
        </xdr:spPr>
        <xdr:txBody>
          <a:bodyPr wrap="square" lIns="0" tIns="0" rIns="0" bIns="0" rtlCol="0" anchor="ctr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None/>
            </a:pPr>
            <a:fld id="{2C560609-8A7A-42F5-ADEE-00F46C80EAB4}" type="TxLink">
              <a:rPr lang="en-US" sz="1400" b="1" i="0" u="none" strike="noStrike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pPr marL="0" indent="0" algn="ctr">
                <a:buNone/>
              </a:pPr>
              <a:t>South Line</a:t>
            </a:fld>
            <a:endParaRPr lang="en-US" sz="28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12</xdr:col>
      <xdr:colOff>30988</xdr:colOff>
      <xdr:row>5</xdr:row>
      <xdr:rowOff>15240</xdr:rowOff>
    </xdr:from>
    <xdr:to>
      <xdr:col>17</xdr:col>
      <xdr:colOff>357124</xdr:colOff>
      <xdr:row>9</xdr:row>
      <xdr:rowOff>144780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0F67DB24-240F-453A-A081-22663A5CB6BE}"/>
            </a:ext>
          </a:extLst>
        </xdr:cNvPr>
        <xdr:cNvGrpSpPr/>
      </xdr:nvGrpSpPr>
      <xdr:grpSpPr>
        <a:xfrm>
          <a:off x="7346188" y="929640"/>
          <a:ext cx="3374136" cy="861060"/>
          <a:chOff x="441960" y="952500"/>
          <a:chExt cx="3093720" cy="861060"/>
        </a:xfrm>
      </xdr:grpSpPr>
      <xdr:sp macro="" textlink="">
        <xdr:nvSpPr>
          <xdr:cNvPr id="53" name="Shape 8">
            <a:extLst>
              <a:ext uri="{FF2B5EF4-FFF2-40B4-BE49-F238E27FC236}">
                <a16:creationId xmlns:a16="http://schemas.microsoft.com/office/drawing/2014/main" id="{24074D3D-1302-642D-671C-6ED8A64D2C35}"/>
              </a:ext>
            </a:extLst>
          </xdr:cNvPr>
          <xdr:cNvSpPr/>
        </xdr:nvSpPr>
        <xdr:spPr>
          <a:xfrm>
            <a:off x="441960" y="998220"/>
            <a:ext cx="3093720" cy="815340"/>
          </a:xfrm>
          <a:prstGeom prst="rect">
            <a:avLst/>
          </a:prstGeom>
          <a:solidFill>
            <a:srgbClr val="FFFFFF"/>
          </a:solidFill>
          <a:ln w="6350">
            <a:solidFill>
              <a:srgbClr val="D3D1C7"/>
            </a:solidFill>
            <a:prstDash val="solid"/>
          </a:ln>
          <a:effectLst>
            <a:outerShdw blurRad="101600" dist="25400" dir="8100000" algn="bl" rotWithShape="0">
              <a:srgbClr val="000000">
                <a:alpha val="7000"/>
              </a:srgbClr>
            </a:outerShdw>
          </a:effectLst>
        </xdr:spPr>
        <xdr:txBody>
          <a:bodyPr wrap="square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54" name="Shape 9">
            <a:extLst>
              <a:ext uri="{FF2B5EF4-FFF2-40B4-BE49-F238E27FC236}">
                <a16:creationId xmlns:a16="http://schemas.microsoft.com/office/drawing/2014/main" id="{5560BD2E-58FA-82E7-D85F-84CE09E482A5}"/>
              </a:ext>
            </a:extLst>
          </xdr:cNvPr>
          <xdr:cNvSpPr/>
        </xdr:nvSpPr>
        <xdr:spPr>
          <a:xfrm>
            <a:off x="449580" y="952500"/>
            <a:ext cx="3086100" cy="53340"/>
          </a:xfrm>
          <a:prstGeom prst="rect">
            <a:avLst/>
          </a:prstGeom>
          <a:solidFill>
            <a:srgbClr val="1D9E75"/>
          </a:solidFill>
          <a:ln w="12700">
            <a:solidFill>
              <a:srgbClr val="1D9E75"/>
            </a:solidFill>
            <a:prstDash val="solid"/>
          </a:ln>
        </xdr:spPr>
        <xdr:txBody>
          <a:bodyPr wrap="square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55" name="Text 10">
            <a:extLst>
              <a:ext uri="{FF2B5EF4-FFF2-40B4-BE49-F238E27FC236}">
                <a16:creationId xmlns:a16="http://schemas.microsoft.com/office/drawing/2014/main" id="{D4504164-3A08-D5A2-45A9-35C6014F6813}"/>
              </a:ext>
            </a:extLst>
          </xdr:cNvPr>
          <xdr:cNvSpPr/>
        </xdr:nvSpPr>
        <xdr:spPr>
          <a:xfrm>
            <a:off x="455468" y="1120140"/>
            <a:ext cx="3074157" cy="182880"/>
          </a:xfrm>
          <a:prstGeom prst="rect">
            <a:avLst/>
          </a:prstGeom>
          <a:noFill/>
          <a:ln/>
        </xdr:spPr>
        <xdr:txBody>
          <a:bodyPr wrap="square" lIns="0" tIns="0" rIns="0" bIns="0" rtlCol="0" anchor="ctr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None/>
            </a:pPr>
            <a:r>
              <a:rPr lang="en-US" sz="700" kern="0" spc="100">
                <a:solidFill>
                  <a:srgbClr val="888780"/>
                </a:solidFill>
                <a:latin typeface="Calibri" pitchFamily="34" charset="0"/>
                <a:ea typeface="Calibri" pitchFamily="34" charset="-122"/>
                <a:cs typeface="Calibri" pitchFamily="34" charset="-120"/>
              </a:rPr>
              <a:t>BUSIEST ROUTE</a:t>
            </a:r>
          </a:p>
        </xdr:txBody>
      </xdr:sp>
      <xdr:sp macro="" textlink="'Analysis 01'!B15">
        <xdr:nvSpPr>
          <xdr:cNvPr id="56" name="Text 11">
            <a:extLst>
              <a:ext uri="{FF2B5EF4-FFF2-40B4-BE49-F238E27FC236}">
                <a16:creationId xmlns:a16="http://schemas.microsoft.com/office/drawing/2014/main" id="{CBE11C9F-0CDB-4204-B228-918F19AF07C5}"/>
              </a:ext>
            </a:extLst>
          </xdr:cNvPr>
          <xdr:cNvSpPr/>
        </xdr:nvSpPr>
        <xdr:spPr>
          <a:xfrm>
            <a:off x="518348" y="1290828"/>
            <a:ext cx="2997304" cy="310896"/>
          </a:xfrm>
          <a:prstGeom prst="rect">
            <a:avLst/>
          </a:prstGeom>
          <a:noFill/>
          <a:ln/>
        </xdr:spPr>
        <xdr:txBody>
          <a:bodyPr wrap="square" lIns="0" tIns="0" rIns="0" bIns="0" rtlCol="0" anchor="ctr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None/>
            </a:pPr>
            <a:fld id="{13629D4F-37B7-4A50-AEE0-F0EA208E31B0}" type="TxLink">
              <a:rPr lang="en-US" sz="1400" b="1" i="0" u="none" strike="noStrike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pPr marL="0" indent="0" algn="ctr">
                <a:buNone/>
              </a:pPr>
              <a:t>East-West Express</a:t>
            </a:fld>
            <a:endParaRPr lang="en-US" sz="14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213360</xdr:colOff>
      <xdr:row>10</xdr:row>
      <xdr:rowOff>30480</xdr:rowOff>
    </xdr:from>
    <xdr:to>
      <xdr:col>9</xdr:col>
      <xdr:colOff>68580</xdr:colOff>
      <xdr:row>20</xdr:row>
      <xdr:rowOff>91440</xdr:rowOff>
    </xdr:to>
    <xdr:sp macro="" textlink="">
      <xdr:nvSpPr>
        <xdr:cNvPr id="59" name="Shape 32">
          <a:extLst>
            <a:ext uri="{FF2B5EF4-FFF2-40B4-BE49-F238E27FC236}">
              <a16:creationId xmlns:a16="http://schemas.microsoft.com/office/drawing/2014/main" id="{ED3E894D-379E-9FA9-82F5-B4C84DDB792E}"/>
            </a:ext>
          </a:extLst>
        </xdr:cNvPr>
        <xdr:cNvSpPr/>
      </xdr:nvSpPr>
      <xdr:spPr>
        <a:xfrm>
          <a:off x="213360" y="1859280"/>
          <a:ext cx="5341620" cy="1889760"/>
        </a:xfrm>
        <a:prstGeom prst="rect">
          <a:avLst/>
        </a:prstGeom>
        <a:solidFill>
          <a:srgbClr val="FFFFFF"/>
        </a:solidFill>
        <a:ln w="6350">
          <a:solidFill>
            <a:srgbClr val="D3D1C7"/>
          </a:solidFill>
          <a:prstDash val="solid"/>
        </a:ln>
        <a:effectLst>
          <a:outerShdw blurRad="101600" dist="25400" dir="8100000" algn="bl" rotWithShape="0">
            <a:srgbClr val="000000">
              <a:alpha val="7000"/>
            </a:srgbClr>
          </a:outerShdw>
        </a:effectLst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281940</xdr:colOff>
      <xdr:row>11</xdr:row>
      <xdr:rowOff>160020</xdr:rowOff>
    </xdr:from>
    <xdr:to>
      <xdr:col>6</xdr:col>
      <xdr:colOff>129540</xdr:colOff>
      <xdr:row>18</xdr:row>
      <xdr:rowOff>167640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E801F699-57BE-4CF7-ADB8-C6BD2E946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320040</xdr:colOff>
      <xdr:row>10</xdr:row>
      <xdr:rowOff>99060</xdr:rowOff>
    </xdr:from>
    <xdr:to>
      <xdr:col>5</xdr:col>
      <xdr:colOff>472440</xdr:colOff>
      <xdr:row>11</xdr:row>
      <xdr:rowOff>80772</xdr:rowOff>
    </xdr:to>
    <xdr:sp macro="" textlink="">
      <xdr:nvSpPr>
        <xdr:cNvPr id="62" name="Text 33">
          <a:extLst>
            <a:ext uri="{FF2B5EF4-FFF2-40B4-BE49-F238E27FC236}">
              <a16:creationId xmlns:a16="http://schemas.microsoft.com/office/drawing/2014/main" id="{5A407817-38D7-2607-DA3E-F50D56B77033}"/>
            </a:ext>
          </a:extLst>
        </xdr:cNvPr>
        <xdr:cNvSpPr/>
      </xdr:nvSpPr>
      <xdr:spPr>
        <a:xfrm>
          <a:off x="320040" y="1927860"/>
          <a:ext cx="3200400" cy="164592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00" b="1" kern="0" spc="1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BUS UTILIZATION BY TIME RANGE</a:t>
          </a:r>
          <a:endParaRPr lang="en-US" sz="1000"/>
        </a:p>
      </xdr:txBody>
    </xdr:sp>
    <xdr:clientData/>
  </xdr:twoCellAnchor>
  <xdr:twoCellAnchor editAs="oneCell">
    <xdr:from>
      <xdr:col>5</xdr:col>
      <xdr:colOff>362931</xdr:colOff>
      <xdr:row>15</xdr:row>
      <xdr:rowOff>106680</xdr:rowOff>
    </xdr:from>
    <xdr:to>
      <xdr:col>6</xdr:col>
      <xdr:colOff>237963</xdr:colOff>
      <xdr:row>18</xdr:row>
      <xdr:rowOff>42672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33B3CB8-C7C7-F555-42E9-D9FB22CBD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0931" y="2849880"/>
          <a:ext cx="484632" cy="484632"/>
        </a:xfrm>
        <a:prstGeom prst="rect">
          <a:avLst/>
        </a:prstGeom>
      </xdr:spPr>
    </xdr:pic>
    <xdr:clientData/>
  </xdr:twoCellAnchor>
  <xdr:twoCellAnchor editAs="oneCell">
    <xdr:from>
      <xdr:col>5</xdr:col>
      <xdr:colOff>364018</xdr:colOff>
      <xdr:row>11</xdr:row>
      <xdr:rowOff>72081</xdr:rowOff>
    </xdr:from>
    <xdr:to>
      <xdr:col>6</xdr:col>
      <xdr:colOff>236877</xdr:colOff>
      <xdr:row>14</xdr:row>
      <xdr:rowOff>5900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51F874C8-9C64-F825-CE29-921B30323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2018" y="2083761"/>
          <a:ext cx="482459" cy="482459"/>
        </a:xfrm>
        <a:prstGeom prst="rect">
          <a:avLst/>
        </a:prstGeom>
      </xdr:spPr>
    </xdr:pic>
    <xdr:clientData/>
  </xdr:twoCellAnchor>
  <xdr:twoCellAnchor>
    <xdr:from>
      <xdr:col>6</xdr:col>
      <xdr:colOff>406470</xdr:colOff>
      <xdr:row>12</xdr:row>
      <xdr:rowOff>18740</xdr:rowOff>
    </xdr:from>
    <xdr:to>
      <xdr:col>8</xdr:col>
      <xdr:colOff>111689</xdr:colOff>
      <xdr:row>13</xdr:row>
      <xdr:rowOff>15239</xdr:rowOff>
    </xdr:to>
    <xdr:sp macro="" textlink="">
      <xdr:nvSpPr>
        <xdr:cNvPr id="67" name="Text 52">
          <a:extLst>
            <a:ext uri="{FF2B5EF4-FFF2-40B4-BE49-F238E27FC236}">
              <a16:creationId xmlns:a16="http://schemas.microsoft.com/office/drawing/2014/main" id="{B0BDFABE-9685-E1FE-A577-578794FE2A6F}"/>
            </a:ext>
          </a:extLst>
        </xdr:cNvPr>
        <xdr:cNvSpPr/>
      </xdr:nvSpPr>
      <xdr:spPr>
        <a:xfrm>
          <a:off x="4064070" y="2213300"/>
          <a:ext cx="924419" cy="179379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200" kern="0" spc="5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PEAK HOUR</a:t>
          </a:r>
          <a:endParaRPr lang="en-US" sz="1200"/>
        </a:p>
      </xdr:txBody>
    </xdr:sp>
    <xdr:clientData/>
  </xdr:twoCellAnchor>
  <xdr:twoCellAnchor>
    <xdr:from>
      <xdr:col>6</xdr:col>
      <xdr:colOff>337890</xdr:colOff>
      <xdr:row>15</xdr:row>
      <xdr:rowOff>110180</xdr:rowOff>
    </xdr:from>
    <xdr:to>
      <xdr:col>8</xdr:col>
      <xdr:colOff>345510</xdr:colOff>
      <xdr:row>17</xdr:row>
      <xdr:rowOff>83820</xdr:rowOff>
    </xdr:to>
    <xdr:sp macro="" textlink="">
      <xdr:nvSpPr>
        <xdr:cNvPr id="68" name="Text 52">
          <a:extLst>
            <a:ext uri="{FF2B5EF4-FFF2-40B4-BE49-F238E27FC236}">
              <a16:creationId xmlns:a16="http://schemas.microsoft.com/office/drawing/2014/main" id="{00C844E5-63BC-F138-57E0-F64666A042BE}"/>
            </a:ext>
          </a:extLst>
        </xdr:cNvPr>
        <xdr:cNvSpPr/>
      </xdr:nvSpPr>
      <xdr:spPr>
        <a:xfrm>
          <a:off x="3995490" y="2853380"/>
          <a:ext cx="1226820" cy="33940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200" kern="0" spc="5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Off-PEAK HOUR</a:t>
          </a:r>
          <a:endParaRPr lang="en-US" sz="1200"/>
        </a:p>
      </xdr:txBody>
    </xdr:sp>
    <xdr:clientData/>
  </xdr:twoCellAnchor>
  <xdr:twoCellAnchor>
    <xdr:from>
      <xdr:col>6</xdr:col>
      <xdr:colOff>368370</xdr:colOff>
      <xdr:row>12</xdr:row>
      <xdr:rowOff>163520</xdr:rowOff>
    </xdr:from>
    <xdr:to>
      <xdr:col>8</xdr:col>
      <xdr:colOff>73589</xdr:colOff>
      <xdr:row>13</xdr:row>
      <xdr:rowOff>160019</xdr:rowOff>
    </xdr:to>
    <xdr:sp macro="" textlink="'Analysis 01'!G21">
      <xdr:nvSpPr>
        <xdr:cNvPr id="69" name="Text 52">
          <a:extLst>
            <a:ext uri="{FF2B5EF4-FFF2-40B4-BE49-F238E27FC236}">
              <a16:creationId xmlns:a16="http://schemas.microsoft.com/office/drawing/2014/main" id="{309C40B7-B265-484A-AB4A-F85BC7B0BFA8}"/>
            </a:ext>
          </a:extLst>
        </xdr:cNvPr>
        <xdr:cNvSpPr/>
      </xdr:nvSpPr>
      <xdr:spPr>
        <a:xfrm>
          <a:off x="4025970" y="2358080"/>
          <a:ext cx="924419" cy="179379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fld id="{12FD0F29-2786-4E1C-87BA-7D0B4714A1FF}" type="TxLink">
            <a:rPr lang="en-US" sz="1100" b="1" i="0" u="none" strike="noStrike">
              <a:solidFill>
                <a:srgbClr val="1D9E75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marL="0" indent="0" algn="ctr">
              <a:buNone/>
            </a:pPr>
            <a:t>8:57:00 PM</a:t>
          </a:fld>
          <a:endParaRPr lang="en-US" sz="1400" b="1">
            <a:solidFill>
              <a:srgbClr val="1D9E75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383610</xdr:colOff>
      <xdr:row>17</xdr:row>
      <xdr:rowOff>26360</xdr:rowOff>
    </xdr:from>
    <xdr:to>
      <xdr:col>8</xdr:col>
      <xdr:colOff>88829</xdr:colOff>
      <xdr:row>18</xdr:row>
      <xdr:rowOff>22859</xdr:rowOff>
    </xdr:to>
    <xdr:sp macro="" textlink="'Analysis 01'!J21">
      <xdr:nvSpPr>
        <xdr:cNvPr id="70" name="Text 52">
          <a:extLst>
            <a:ext uri="{FF2B5EF4-FFF2-40B4-BE49-F238E27FC236}">
              <a16:creationId xmlns:a16="http://schemas.microsoft.com/office/drawing/2014/main" id="{C9BA6137-AB1E-0478-6DF0-12D4D716ECBD}"/>
            </a:ext>
          </a:extLst>
        </xdr:cNvPr>
        <xdr:cNvSpPr/>
      </xdr:nvSpPr>
      <xdr:spPr>
        <a:xfrm>
          <a:off x="4041210" y="3135320"/>
          <a:ext cx="924419" cy="179379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/>
        <a:p>
          <a:pPr marL="0" indent="0" algn="ctr" defTabSz="914400" rtl="0" eaLnBrk="1" latinLnBrk="0" hangingPunct="1">
            <a:buNone/>
          </a:pPr>
          <a:fld id="{223D78F1-F282-4761-B18B-5D8D62E68F7C}" type="TxLink">
            <a:rPr lang="en-US" sz="1100" b="1" i="0" u="none" strike="noStrike" kern="1200">
              <a:solidFill>
                <a:srgbClr val="BA7517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marL="0" indent="0" algn="ctr" defTabSz="914400" rtl="0" eaLnBrk="1" latinLnBrk="0" hangingPunct="1">
              <a:buNone/>
            </a:pPr>
            <a:t>7:50:00 PM</a:t>
          </a:fld>
          <a:endParaRPr lang="en-US" sz="1100" b="1" i="0" u="none" strike="noStrike" kern="1200">
            <a:solidFill>
              <a:srgbClr val="BA7517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213360</xdr:colOff>
      <xdr:row>20</xdr:row>
      <xdr:rowOff>144780</xdr:rowOff>
    </xdr:from>
    <xdr:to>
      <xdr:col>7</xdr:col>
      <xdr:colOff>152400</xdr:colOff>
      <xdr:row>30</xdr:row>
      <xdr:rowOff>30480</xdr:rowOff>
    </xdr:to>
    <xdr:sp macro="" textlink="">
      <xdr:nvSpPr>
        <xdr:cNvPr id="6" name="Shape 32">
          <a:extLst>
            <a:ext uri="{FF2B5EF4-FFF2-40B4-BE49-F238E27FC236}">
              <a16:creationId xmlns:a16="http://schemas.microsoft.com/office/drawing/2014/main" id="{ABDAB77A-819F-47E5-9B77-21F7713C08A9}"/>
            </a:ext>
          </a:extLst>
        </xdr:cNvPr>
        <xdr:cNvSpPr/>
      </xdr:nvSpPr>
      <xdr:spPr>
        <a:xfrm>
          <a:off x="213360" y="3802380"/>
          <a:ext cx="4206240" cy="1714500"/>
        </a:xfrm>
        <a:prstGeom prst="rect">
          <a:avLst/>
        </a:prstGeom>
        <a:solidFill>
          <a:srgbClr val="FFFFFF"/>
        </a:solidFill>
        <a:ln w="6350">
          <a:solidFill>
            <a:srgbClr val="D3D1C7"/>
          </a:solidFill>
          <a:prstDash val="solid"/>
        </a:ln>
        <a:effectLst>
          <a:outerShdw blurRad="101600" dist="25400" dir="8100000" algn="bl" rotWithShape="0">
            <a:srgbClr val="000000">
              <a:alpha val="7000"/>
            </a:srgbClr>
          </a:outerShdw>
        </a:effectLst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289560</xdr:colOff>
      <xdr:row>22</xdr:row>
      <xdr:rowOff>160020</xdr:rowOff>
    </xdr:from>
    <xdr:to>
      <xdr:col>5</xdr:col>
      <xdr:colOff>236220</xdr:colOff>
      <xdr:row>29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ED1332-B4DC-40C0-AA77-3A97A3836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335280</xdr:colOff>
      <xdr:row>21</xdr:row>
      <xdr:rowOff>30480</xdr:rowOff>
    </xdr:from>
    <xdr:to>
      <xdr:col>4</xdr:col>
      <xdr:colOff>274320</xdr:colOff>
      <xdr:row>22</xdr:row>
      <xdr:rowOff>12192</xdr:rowOff>
    </xdr:to>
    <xdr:sp macro="" textlink="">
      <xdr:nvSpPr>
        <xdr:cNvPr id="7" name="Text 70">
          <a:extLst>
            <a:ext uri="{FF2B5EF4-FFF2-40B4-BE49-F238E27FC236}">
              <a16:creationId xmlns:a16="http://schemas.microsoft.com/office/drawing/2014/main" id="{6CF5DA8D-3051-16A3-B7A9-272C5C4EAE47}"/>
            </a:ext>
          </a:extLst>
        </xdr:cNvPr>
        <xdr:cNvSpPr/>
      </xdr:nvSpPr>
      <xdr:spPr>
        <a:xfrm>
          <a:off x="335280" y="3870960"/>
          <a:ext cx="2377440" cy="164592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None/>
          </a:pPr>
          <a:r>
            <a:rPr lang="en-US" sz="1000" b="1" kern="0" spc="1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TOTAL RIDERS YEARLY DISTRIBUTION</a:t>
          </a:r>
        </a:p>
      </xdr:txBody>
    </xdr:sp>
    <xdr:clientData/>
  </xdr:twoCellAnchor>
  <xdr:twoCellAnchor>
    <xdr:from>
      <xdr:col>5</xdr:col>
      <xdr:colOff>388620</xdr:colOff>
      <xdr:row>25</xdr:row>
      <xdr:rowOff>91440</xdr:rowOff>
    </xdr:from>
    <xdr:to>
      <xdr:col>6</xdr:col>
      <xdr:colOff>533400</xdr:colOff>
      <xdr:row>27</xdr:row>
      <xdr:rowOff>106680</xdr:rowOff>
    </xdr:to>
    <xdr:sp macro="" textlink="'Analysis 01'!S25">
      <xdr:nvSpPr>
        <xdr:cNvPr id="8" name="Text 70">
          <a:extLst>
            <a:ext uri="{FF2B5EF4-FFF2-40B4-BE49-F238E27FC236}">
              <a16:creationId xmlns:a16="http://schemas.microsoft.com/office/drawing/2014/main" id="{B3CD7FC0-EE86-4EF4-99D6-044211A2A69E}"/>
            </a:ext>
          </a:extLst>
        </xdr:cNvPr>
        <xdr:cNvSpPr/>
      </xdr:nvSpPr>
      <xdr:spPr>
        <a:xfrm>
          <a:off x="3436620" y="4663440"/>
          <a:ext cx="754380" cy="38100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None/>
          </a:pPr>
          <a:fld id="{D4F8FCE9-8FFF-4EAE-9D57-6BE260731C38}" type="TxLink">
            <a:rPr lang="en-US" sz="1000" b="0" i="0" u="none" strike="noStrike" kern="0" spc="100">
              <a:solidFill>
                <a:srgbClr val="C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marL="0" indent="0" algn="l" defTabSz="914400" rtl="0" eaLnBrk="1" latinLnBrk="0" hangingPunct="1">
              <a:buNone/>
            </a:pPr>
            <a:t>YoY needs attention</a:t>
          </a:fld>
          <a:endParaRPr lang="en-US" sz="600" b="1" kern="0" spc="100">
            <a:solidFill>
              <a:srgbClr val="C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304800</xdr:colOff>
      <xdr:row>24</xdr:row>
      <xdr:rowOff>76200</xdr:rowOff>
    </xdr:from>
    <xdr:to>
      <xdr:col>5</xdr:col>
      <xdr:colOff>556260</xdr:colOff>
      <xdr:row>25</xdr:row>
      <xdr:rowOff>114300</xdr:rowOff>
    </xdr:to>
    <xdr:sp macro="" textlink="'Analysis 01'!S20">
      <xdr:nvSpPr>
        <xdr:cNvPr id="9" name="Text 70">
          <a:extLst>
            <a:ext uri="{FF2B5EF4-FFF2-40B4-BE49-F238E27FC236}">
              <a16:creationId xmlns:a16="http://schemas.microsoft.com/office/drawing/2014/main" id="{0B6E7131-5982-4EAB-86CD-FC0084B9D175}"/>
            </a:ext>
          </a:extLst>
        </xdr:cNvPr>
        <xdr:cNvSpPr/>
      </xdr:nvSpPr>
      <xdr:spPr>
        <a:xfrm>
          <a:off x="3352800" y="4465320"/>
          <a:ext cx="251460" cy="22098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None/>
          </a:pPr>
          <a:fld id="{73EF5F34-6C9D-4C8B-8E1D-A9EC2E19C2D5}" type="TxLink">
            <a:rPr lang="en-US" sz="1100" b="1" i="0" u="none" strike="noStrike" kern="0" spc="100">
              <a:solidFill>
                <a:srgbClr val="C00000"/>
              </a:solidFill>
              <a:latin typeface="Aptos Narrow"/>
              <a:ea typeface="Calibri" panose="020F0502020204030204" pitchFamily="34" charset="0"/>
              <a:cs typeface="Calibri" panose="020F0502020204030204" pitchFamily="34" charset="0"/>
            </a:rPr>
            <a:pPr marL="0" indent="0" algn="l" defTabSz="914400" rtl="0" eaLnBrk="1" latinLnBrk="0" hangingPunct="1">
              <a:buNone/>
            </a:pPr>
            <a:t>▼</a:t>
          </a:fld>
          <a:endParaRPr lang="en-US" sz="400" b="1" kern="0" spc="100">
            <a:solidFill>
              <a:srgbClr val="C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480060</xdr:colOff>
      <xdr:row>24</xdr:row>
      <xdr:rowOff>76200</xdr:rowOff>
    </xdr:from>
    <xdr:to>
      <xdr:col>6</xdr:col>
      <xdr:colOff>548640</xdr:colOff>
      <xdr:row>25</xdr:row>
      <xdr:rowOff>99060</xdr:rowOff>
    </xdr:to>
    <xdr:sp macro="" textlink="'Analysis 01'!R20">
      <xdr:nvSpPr>
        <xdr:cNvPr id="10" name="Text 70">
          <a:extLst>
            <a:ext uri="{FF2B5EF4-FFF2-40B4-BE49-F238E27FC236}">
              <a16:creationId xmlns:a16="http://schemas.microsoft.com/office/drawing/2014/main" id="{20ED7399-8F81-4FCA-B68A-DDF718EE6975}"/>
            </a:ext>
          </a:extLst>
        </xdr:cNvPr>
        <xdr:cNvSpPr/>
      </xdr:nvSpPr>
      <xdr:spPr>
        <a:xfrm>
          <a:off x="3528060" y="4465320"/>
          <a:ext cx="678180" cy="20574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None/>
          </a:pPr>
          <a:fld id="{D4EC87F3-341E-49FB-AA49-3A26DBE76077}" type="TxLink">
            <a:rPr lang="en-US" sz="1100" b="1" i="0" u="none" strike="noStrike" kern="0" spc="100">
              <a:solidFill>
                <a:srgbClr val="C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marL="0" indent="0" algn="l" defTabSz="914400" rtl="0" eaLnBrk="1" latinLnBrk="0" hangingPunct="1">
              <a:buNone/>
            </a:pPr>
            <a:t>-83.50%</a:t>
          </a:fld>
          <a:endParaRPr lang="en-US" sz="400" b="1" kern="0" spc="100">
            <a:solidFill>
              <a:srgbClr val="C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259080</xdr:colOff>
      <xdr:row>20</xdr:row>
      <xdr:rowOff>152400</xdr:rowOff>
    </xdr:from>
    <xdr:to>
      <xdr:col>15</xdr:col>
      <xdr:colOff>0</xdr:colOff>
      <xdr:row>30</xdr:row>
      <xdr:rowOff>38100</xdr:rowOff>
    </xdr:to>
    <xdr:sp macro="" textlink="">
      <xdr:nvSpPr>
        <xdr:cNvPr id="12" name="Shape 32">
          <a:extLst>
            <a:ext uri="{FF2B5EF4-FFF2-40B4-BE49-F238E27FC236}">
              <a16:creationId xmlns:a16="http://schemas.microsoft.com/office/drawing/2014/main" id="{B7ECC187-8F17-45C6-8523-24C19CD1074E}"/>
            </a:ext>
          </a:extLst>
        </xdr:cNvPr>
        <xdr:cNvSpPr/>
      </xdr:nvSpPr>
      <xdr:spPr>
        <a:xfrm>
          <a:off x="4526280" y="3810000"/>
          <a:ext cx="4617720" cy="1714500"/>
        </a:xfrm>
        <a:prstGeom prst="rect">
          <a:avLst/>
        </a:prstGeom>
        <a:solidFill>
          <a:srgbClr val="FFFFFF"/>
        </a:solidFill>
        <a:ln w="6350">
          <a:solidFill>
            <a:srgbClr val="D3D1C7"/>
          </a:solidFill>
          <a:prstDash val="solid"/>
        </a:ln>
        <a:effectLst>
          <a:outerShdw blurRad="101600" dist="25400" dir="8100000" algn="bl" rotWithShape="0">
            <a:srgbClr val="000000">
              <a:alpha val="7000"/>
            </a:srgbClr>
          </a:outerShdw>
        </a:effectLst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7</xdr:col>
      <xdr:colOff>320040</xdr:colOff>
      <xdr:row>22</xdr:row>
      <xdr:rowOff>99060</xdr:rowOff>
    </xdr:from>
    <xdr:to>
      <xdr:col>14</xdr:col>
      <xdr:colOff>480060</xdr:colOff>
      <xdr:row>28</xdr:row>
      <xdr:rowOff>106680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FCCDC9F-1B8C-439A-A62F-DEB401C81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381000</xdr:colOff>
      <xdr:row>21</xdr:row>
      <xdr:rowOff>45720</xdr:rowOff>
    </xdr:from>
    <xdr:to>
      <xdr:col>11</xdr:col>
      <xdr:colOff>502920</xdr:colOff>
      <xdr:row>22</xdr:row>
      <xdr:rowOff>27432</xdr:rowOff>
    </xdr:to>
    <xdr:sp macro="" textlink="">
      <xdr:nvSpPr>
        <xdr:cNvPr id="13" name="Text 74">
          <a:extLst>
            <a:ext uri="{FF2B5EF4-FFF2-40B4-BE49-F238E27FC236}">
              <a16:creationId xmlns:a16="http://schemas.microsoft.com/office/drawing/2014/main" id="{52E21AFE-D12E-3DD2-307C-4AA384579FC5}"/>
            </a:ext>
          </a:extLst>
        </xdr:cNvPr>
        <xdr:cNvSpPr/>
      </xdr:nvSpPr>
      <xdr:spPr>
        <a:xfrm>
          <a:off x="4648200" y="3886200"/>
          <a:ext cx="2560320" cy="164592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00" b="1" kern="0" spc="1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RIDERS WEEKDAY DISTRIBUTION</a:t>
          </a:r>
          <a:endParaRPr lang="en-US" sz="1000"/>
        </a:p>
      </xdr:txBody>
    </xdr:sp>
    <xdr:clientData/>
  </xdr:twoCellAnchor>
  <xdr:twoCellAnchor>
    <xdr:from>
      <xdr:col>7</xdr:col>
      <xdr:colOff>419100</xdr:colOff>
      <xdr:row>28</xdr:row>
      <xdr:rowOff>137160</xdr:rowOff>
    </xdr:from>
    <xdr:to>
      <xdr:col>11</xdr:col>
      <xdr:colOff>541020</xdr:colOff>
      <xdr:row>29</xdr:row>
      <xdr:rowOff>175260</xdr:rowOff>
    </xdr:to>
    <xdr:sp macro="" textlink="'Analysis 01'!AB20">
      <xdr:nvSpPr>
        <xdr:cNvPr id="14" name="Text 75">
          <a:extLst>
            <a:ext uri="{FF2B5EF4-FFF2-40B4-BE49-F238E27FC236}">
              <a16:creationId xmlns:a16="http://schemas.microsoft.com/office/drawing/2014/main" id="{6A000FBD-C43C-9511-42DB-9F1DA7C35DDE}"/>
            </a:ext>
          </a:extLst>
        </xdr:cNvPr>
        <xdr:cNvSpPr/>
      </xdr:nvSpPr>
      <xdr:spPr>
        <a:xfrm>
          <a:off x="4686300" y="5257800"/>
          <a:ext cx="2560320" cy="22098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fld id="{3ADCB659-E47F-48FA-A9AB-B1ACE6253300}" type="TxLink">
            <a:rPr lang="en-US" sz="900" b="0" i="0" u="none" strike="noStrike">
              <a:solidFill>
                <a:srgbClr val="88878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marL="0" indent="0">
              <a:buNone/>
            </a:pPr>
            <a:t>The highlited days exceed  941 avg ·  49.4% of total</a:t>
          </a:fld>
          <a:endParaRPr lang="en-US" sz="500">
            <a:solidFill>
              <a:srgbClr val="88878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9</xdr:col>
      <xdr:colOff>160020</xdr:colOff>
      <xdr:row>10</xdr:row>
      <xdr:rowOff>22860</xdr:rowOff>
    </xdr:from>
    <xdr:to>
      <xdr:col>16</xdr:col>
      <xdr:colOff>99060</xdr:colOff>
      <xdr:row>20</xdr:row>
      <xdr:rowOff>99060</xdr:rowOff>
    </xdr:to>
    <xdr:sp macro="" textlink="">
      <xdr:nvSpPr>
        <xdr:cNvPr id="16" name="Shape 32">
          <a:extLst>
            <a:ext uri="{FF2B5EF4-FFF2-40B4-BE49-F238E27FC236}">
              <a16:creationId xmlns:a16="http://schemas.microsoft.com/office/drawing/2014/main" id="{3156E029-E21B-46C2-A1D5-2D46C6676582}"/>
            </a:ext>
          </a:extLst>
        </xdr:cNvPr>
        <xdr:cNvSpPr/>
      </xdr:nvSpPr>
      <xdr:spPr>
        <a:xfrm>
          <a:off x="5646420" y="1851660"/>
          <a:ext cx="4206240" cy="1905000"/>
        </a:xfrm>
        <a:prstGeom prst="rect">
          <a:avLst/>
        </a:prstGeom>
        <a:solidFill>
          <a:srgbClr val="FFFFFF"/>
        </a:solidFill>
        <a:ln w="6350">
          <a:solidFill>
            <a:srgbClr val="D3D1C7"/>
          </a:solidFill>
          <a:prstDash val="solid"/>
        </a:ln>
        <a:effectLst>
          <a:outerShdw blurRad="101600" dist="25400" dir="8100000" algn="bl" rotWithShape="0">
            <a:srgbClr val="000000">
              <a:alpha val="7000"/>
            </a:srgbClr>
          </a:outerShdw>
        </a:effectLst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220980</xdr:colOff>
      <xdr:row>12</xdr:row>
      <xdr:rowOff>106680</xdr:rowOff>
    </xdr:from>
    <xdr:to>
      <xdr:col>15</xdr:col>
      <xdr:colOff>571500</xdr:colOff>
      <xdr:row>20</xdr:row>
      <xdr:rowOff>7620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52DFEFE-2413-474F-85B7-B212AC3EB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281940</xdr:colOff>
      <xdr:row>10</xdr:row>
      <xdr:rowOff>121920</xdr:rowOff>
    </xdr:from>
    <xdr:to>
      <xdr:col>13</xdr:col>
      <xdr:colOff>220980</xdr:colOff>
      <xdr:row>11</xdr:row>
      <xdr:rowOff>103632</xdr:rowOff>
    </xdr:to>
    <xdr:sp macro="" textlink="">
      <xdr:nvSpPr>
        <xdr:cNvPr id="18" name="Text 70">
          <a:extLst>
            <a:ext uri="{FF2B5EF4-FFF2-40B4-BE49-F238E27FC236}">
              <a16:creationId xmlns:a16="http://schemas.microsoft.com/office/drawing/2014/main" id="{E993350B-412E-47F0-AB1C-77B541E0EF9D}"/>
            </a:ext>
          </a:extLst>
        </xdr:cNvPr>
        <xdr:cNvSpPr/>
      </xdr:nvSpPr>
      <xdr:spPr>
        <a:xfrm>
          <a:off x="5768340" y="1950720"/>
          <a:ext cx="2377440" cy="164592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None/>
          </a:pPr>
          <a:r>
            <a:rPr lang="en-US" sz="1000" b="1" kern="0" spc="1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RIDERS MONTHLY DISTRIBUTION</a:t>
          </a:r>
        </a:p>
      </xdr:txBody>
    </xdr:sp>
    <xdr:clientData/>
  </xdr:twoCellAnchor>
  <xdr:twoCellAnchor>
    <xdr:from>
      <xdr:col>16</xdr:col>
      <xdr:colOff>160020</xdr:colOff>
      <xdr:row>10</xdr:row>
      <xdr:rowOff>30480</xdr:rowOff>
    </xdr:from>
    <xdr:to>
      <xdr:col>23</xdr:col>
      <xdr:colOff>274320</xdr:colOff>
      <xdr:row>20</xdr:row>
      <xdr:rowOff>91440</xdr:rowOff>
    </xdr:to>
    <xdr:sp macro="" textlink="">
      <xdr:nvSpPr>
        <xdr:cNvPr id="23" name="Shape 32">
          <a:extLst>
            <a:ext uri="{FF2B5EF4-FFF2-40B4-BE49-F238E27FC236}">
              <a16:creationId xmlns:a16="http://schemas.microsoft.com/office/drawing/2014/main" id="{B8216607-EAC9-4AFE-AA55-7D2FDA5E9346}"/>
            </a:ext>
          </a:extLst>
        </xdr:cNvPr>
        <xdr:cNvSpPr/>
      </xdr:nvSpPr>
      <xdr:spPr>
        <a:xfrm>
          <a:off x="9913620" y="1859280"/>
          <a:ext cx="4381500" cy="1889760"/>
        </a:xfrm>
        <a:prstGeom prst="rect">
          <a:avLst/>
        </a:prstGeom>
        <a:solidFill>
          <a:srgbClr val="FFFFFF"/>
        </a:solidFill>
        <a:ln w="6350">
          <a:solidFill>
            <a:srgbClr val="D3D1C7"/>
          </a:solidFill>
          <a:prstDash val="solid"/>
        </a:ln>
        <a:effectLst>
          <a:outerShdw blurRad="101600" dist="25400" dir="8100000" algn="bl" rotWithShape="0">
            <a:srgbClr val="000000">
              <a:alpha val="7000"/>
            </a:srgbClr>
          </a:outerShdw>
        </a:effectLst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16</xdr:col>
      <xdr:colOff>251460</xdr:colOff>
      <xdr:row>11</xdr:row>
      <xdr:rowOff>68580</xdr:rowOff>
    </xdr:from>
    <xdr:to>
      <xdr:col>20</xdr:col>
      <xdr:colOff>388620</xdr:colOff>
      <xdr:row>20</xdr:row>
      <xdr:rowOff>45720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483BFFB-21FE-4357-BAA0-DAC256DBEC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38100</xdr:colOff>
      <xdr:row>20</xdr:row>
      <xdr:rowOff>152400</xdr:rowOff>
    </xdr:from>
    <xdr:to>
      <xdr:col>23</xdr:col>
      <xdr:colOff>281940</xdr:colOff>
      <xdr:row>30</xdr:row>
      <xdr:rowOff>15240</xdr:rowOff>
    </xdr:to>
    <xdr:sp macro="" textlink="">
      <xdr:nvSpPr>
        <xdr:cNvPr id="24" name="Shape 32">
          <a:extLst>
            <a:ext uri="{FF2B5EF4-FFF2-40B4-BE49-F238E27FC236}">
              <a16:creationId xmlns:a16="http://schemas.microsoft.com/office/drawing/2014/main" id="{F6890E80-7ED9-4008-A0E2-351E35C6E85D}"/>
            </a:ext>
          </a:extLst>
        </xdr:cNvPr>
        <xdr:cNvSpPr/>
      </xdr:nvSpPr>
      <xdr:spPr>
        <a:xfrm>
          <a:off x="9182100" y="3810000"/>
          <a:ext cx="5120640" cy="1691640"/>
        </a:xfrm>
        <a:prstGeom prst="rect">
          <a:avLst/>
        </a:prstGeom>
        <a:solidFill>
          <a:srgbClr val="FFFFFF"/>
        </a:solidFill>
        <a:ln w="6350">
          <a:solidFill>
            <a:srgbClr val="D3D1C7"/>
          </a:solidFill>
          <a:prstDash val="solid"/>
        </a:ln>
        <a:effectLst>
          <a:outerShdw blurRad="101600" dist="25400" dir="8100000" algn="bl" rotWithShape="0">
            <a:srgbClr val="000000">
              <a:alpha val="7000"/>
            </a:srgbClr>
          </a:outerShdw>
        </a:effectLst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20</xdr:col>
      <xdr:colOff>449580</xdr:colOff>
      <xdr:row>11</xdr:row>
      <xdr:rowOff>167640</xdr:rowOff>
    </xdr:from>
    <xdr:to>
      <xdr:col>21</xdr:col>
      <xdr:colOff>30480</xdr:colOff>
      <xdr:row>12</xdr:row>
      <xdr:rowOff>160020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C443E069-4856-DAE1-578C-8439F1CB385E}"/>
            </a:ext>
          </a:extLst>
        </xdr:cNvPr>
        <xdr:cNvSpPr/>
      </xdr:nvSpPr>
      <xdr:spPr>
        <a:xfrm>
          <a:off x="12641580" y="2179320"/>
          <a:ext cx="190500" cy="175260"/>
        </a:xfrm>
        <a:prstGeom prst="rect">
          <a:avLst/>
        </a:prstGeom>
        <a:solidFill>
          <a:srgbClr val="1D9E7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449580</xdr:colOff>
      <xdr:row>14</xdr:row>
      <xdr:rowOff>156210</xdr:rowOff>
    </xdr:from>
    <xdr:to>
      <xdr:col>21</xdr:col>
      <xdr:colOff>30480</xdr:colOff>
      <xdr:row>15</xdr:row>
      <xdr:rowOff>148590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88F490C-73AA-4338-A00D-64A609F11C75}"/>
            </a:ext>
          </a:extLst>
        </xdr:cNvPr>
        <xdr:cNvSpPr/>
      </xdr:nvSpPr>
      <xdr:spPr>
        <a:xfrm>
          <a:off x="12641580" y="2716530"/>
          <a:ext cx="190500" cy="175260"/>
        </a:xfrm>
        <a:prstGeom prst="rect">
          <a:avLst/>
        </a:prstGeom>
        <a:solidFill>
          <a:srgbClr val="534AB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449580</xdr:colOff>
      <xdr:row>17</xdr:row>
      <xdr:rowOff>144780</xdr:rowOff>
    </xdr:from>
    <xdr:to>
      <xdr:col>21</xdr:col>
      <xdr:colOff>30480</xdr:colOff>
      <xdr:row>18</xdr:row>
      <xdr:rowOff>137160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779FA7B-A2C9-4523-A868-EF073E1FFD56}"/>
            </a:ext>
          </a:extLst>
        </xdr:cNvPr>
        <xdr:cNvSpPr/>
      </xdr:nvSpPr>
      <xdr:spPr>
        <a:xfrm>
          <a:off x="12641580" y="3253740"/>
          <a:ext cx="190500" cy="175260"/>
        </a:xfrm>
        <a:prstGeom prst="rect">
          <a:avLst/>
        </a:prstGeom>
        <a:solidFill>
          <a:srgbClr val="BA75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129540</xdr:colOff>
      <xdr:row>11</xdr:row>
      <xdr:rowOff>121920</xdr:rowOff>
    </xdr:from>
    <xdr:to>
      <xdr:col>22</xdr:col>
      <xdr:colOff>525780</xdr:colOff>
      <xdr:row>12</xdr:row>
      <xdr:rowOff>103632</xdr:rowOff>
    </xdr:to>
    <xdr:sp macro="" textlink="">
      <xdr:nvSpPr>
        <xdr:cNvPr id="28" name="Text 61">
          <a:extLst>
            <a:ext uri="{FF2B5EF4-FFF2-40B4-BE49-F238E27FC236}">
              <a16:creationId xmlns:a16="http://schemas.microsoft.com/office/drawing/2014/main" id="{FD5BEA7E-35E1-2F11-FEF4-83A89711B7F7}"/>
            </a:ext>
          </a:extLst>
        </xdr:cNvPr>
        <xdr:cNvSpPr/>
      </xdr:nvSpPr>
      <xdr:spPr>
        <a:xfrm>
          <a:off x="12931140" y="2133600"/>
          <a:ext cx="1005840" cy="164592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Well-utilized</a:t>
          </a:r>
          <a:endParaRPr lang="en-US" sz="1000"/>
        </a:p>
      </xdr:txBody>
    </xdr:sp>
    <xdr:clientData/>
  </xdr:twoCellAnchor>
  <xdr:twoCellAnchor>
    <xdr:from>
      <xdr:col>21</xdr:col>
      <xdr:colOff>137160</xdr:colOff>
      <xdr:row>14</xdr:row>
      <xdr:rowOff>111252</xdr:rowOff>
    </xdr:from>
    <xdr:to>
      <xdr:col>22</xdr:col>
      <xdr:colOff>533400</xdr:colOff>
      <xdr:row>15</xdr:row>
      <xdr:rowOff>92964</xdr:rowOff>
    </xdr:to>
    <xdr:sp macro="" textlink="">
      <xdr:nvSpPr>
        <xdr:cNvPr id="33" name="Text 64">
          <a:extLst>
            <a:ext uri="{FF2B5EF4-FFF2-40B4-BE49-F238E27FC236}">
              <a16:creationId xmlns:a16="http://schemas.microsoft.com/office/drawing/2014/main" id="{02308950-43C5-4849-211E-F9210C9F410F}"/>
            </a:ext>
          </a:extLst>
        </xdr:cNvPr>
        <xdr:cNvSpPr/>
      </xdr:nvSpPr>
      <xdr:spPr>
        <a:xfrm>
          <a:off x="12938760" y="2671572"/>
          <a:ext cx="1005840" cy="164592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Over-utilized</a:t>
          </a:r>
          <a:endParaRPr lang="en-US" sz="1000"/>
        </a:p>
      </xdr:txBody>
    </xdr:sp>
    <xdr:clientData/>
  </xdr:twoCellAnchor>
  <xdr:twoCellAnchor>
    <xdr:from>
      <xdr:col>21</xdr:col>
      <xdr:colOff>160020</xdr:colOff>
      <xdr:row>17</xdr:row>
      <xdr:rowOff>92964</xdr:rowOff>
    </xdr:from>
    <xdr:to>
      <xdr:col>22</xdr:col>
      <xdr:colOff>556260</xdr:colOff>
      <xdr:row>18</xdr:row>
      <xdr:rowOff>74676</xdr:rowOff>
    </xdr:to>
    <xdr:sp macro="" textlink="">
      <xdr:nvSpPr>
        <xdr:cNvPr id="34" name="Text 67">
          <a:extLst>
            <a:ext uri="{FF2B5EF4-FFF2-40B4-BE49-F238E27FC236}">
              <a16:creationId xmlns:a16="http://schemas.microsoft.com/office/drawing/2014/main" id="{6829A31B-6508-1E51-01E1-DF9FEC919AA9}"/>
            </a:ext>
          </a:extLst>
        </xdr:cNvPr>
        <xdr:cNvSpPr/>
      </xdr:nvSpPr>
      <xdr:spPr>
        <a:xfrm>
          <a:off x="12961620" y="3201924"/>
          <a:ext cx="1005840" cy="164592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Under-utilized</a:t>
          </a:r>
          <a:endParaRPr lang="en-US" sz="1000"/>
        </a:p>
      </xdr:txBody>
    </xdr:sp>
    <xdr:clientData/>
  </xdr:twoCellAnchor>
  <xdr:twoCellAnchor>
    <xdr:from>
      <xdr:col>21</xdr:col>
      <xdr:colOff>121920</xdr:colOff>
      <xdr:row>12</xdr:row>
      <xdr:rowOff>137160</xdr:rowOff>
    </xdr:from>
    <xdr:to>
      <xdr:col>23</xdr:col>
      <xdr:colOff>205740</xdr:colOff>
      <xdr:row>14</xdr:row>
      <xdr:rowOff>38100</xdr:rowOff>
    </xdr:to>
    <xdr:sp macro="" textlink="'Analysis 01'!AS14">
      <xdr:nvSpPr>
        <xdr:cNvPr id="41" name="Text 61">
          <a:extLst>
            <a:ext uri="{FF2B5EF4-FFF2-40B4-BE49-F238E27FC236}">
              <a16:creationId xmlns:a16="http://schemas.microsoft.com/office/drawing/2014/main" id="{1075FFA5-3408-4EBC-B239-FA9C1D455396}"/>
            </a:ext>
          </a:extLst>
        </xdr:cNvPr>
        <xdr:cNvSpPr/>
      </xdr:nvSpPr>
      <xdr:spPr>
        <a:xfrm>
          <a:off x="12923520" y="2331720"/>
          <a:ext cx="1303020" cy="26670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fld id="{E4239ABB-BA1F-4E4E-B62E-593DC7A456AC}" type="TxLink">
            <a:rPr lang="en-US" sz="900" b="0" i="0" u="none" strike="noStrike">
              <a:solidFill>
                <a:srgbClr val="000000"/>
              </a:solidFill>
              <a:latin typeface="Aptos Narrow"/>
            </a:rPr>
            <a:pPr marL="0" indent="0">
              <a:buNone/>
            </a:pPr>
            <a:t>Buses Required: 38 · Capacity Utilization: 49.35%</a:t>
          </a:fld>
          <a:endParaRPr lang="en-US" sz="400"/>
        </a:p>
      </xdr:txBody>
    </xdr:sp>
    <xdr:clientData/>
  </xdr:twoCellAnchor>
  <xdr:twoCellAnchor>
    <xdr:from>
      <xdr:col>21</xdr:col>
      <xdr:colOff>114300</xdr:colOff>
      <xdr:row>15</xdr:row>
      <xdr:rowOff>91440</xdr:rowOff>
    </xdr:from>
    <xdr:to>
      <xdr:col>23</xdr:col>
      <xdr:colOff>198120</xdr:colOff>
      <xdr:row>16</xdr:row>
      <xdr:rowOff>175260</xdr:rowOff>
    </xdr:to>
    <xdr:sp macro="" textlink="'Analysis 01'!AS12">
      <xdr:nvSpPr>
        <xdr:cNvPr id="42" name="Text 61">
          <a:extLst>
            <a:ext uri="{FF2B5EF4-FFF2-40B4-BE49-F238E27FC236}">
              <a16:creationId xmlns:a16="http://schemas.microsoft.com/office/drawing/2014/main" id="{C629E9D4-3D21-08C3-6BC8-8D401422549F}"/>
            </a:ext>
          </a:extLst>
        </xdr:cNvPr>
        <xdr:cNvSpPr/>
      </xdr:nvSpPr>
      <xdr:spPr>
        <a:xfrm>
          <a:off x="12915900" y="2834640"/>
          <a:ext cx="1303020" cy="26670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fld id="{4862939B-A740-4B55-A46A-CBE04187B479}" type="TxLink">
            <a:rPr lang="en-US" sz="900" b="0" i="0" u="none" strike="noStrike">
              <a:solidFill>
                <a:srgbClr val="000000"/>
              </a:solidFill>
              <a:latin typeface="Aptos Narrow"/>
            </a:rPr>
            <a:pPr marL="0" indent="0">
              <a:buNone/>
            </a:pPr>
            <a:t>Buses Required: 20 · Capacity Utilization: 25.97%</a:t>
          </a:fld>
          <a:endParaRPr lang="en-US" sz="700"/>
        </a:p>
      </xdr:txBody>
    </xdr:sp>
    <xdr:clientData/>
  </xdr:twoCellAnchor>
  <xdr:twoCellAnchor>
    <xdr:from>
      <xdr:col>21</xdr:col>
      <xdr:colOff>137160</xdr:colOff>
      <xdr:row>18</xdr:row>
      <xdr:rowOff>106680</xdr:rowOff>
    </xdr:from>
    <xdr:to>
      <xdr:col>23</xdr:col>
      <xdr:colOff>220980</xdr:colOff>
      <xdr:row>20</xdr:row>
      <xdr:rowOff>7620</xdr:rowOff>
    </xdr:to>
    <xdr:sp macro="" textlink="'Analysis 01'!AS13">
      <xdr:nvSpPr>
        <xdr:cNvPr id="43" name="Text 61">
          <a:extLst>
            <a:ext uri="{FF2B5EF4-FFF2-40B4-BE49-F238E27FC236}">
              <a16:creationId xmlns:a16="http://schemas.microsoft.com/office/drawing/2014/main" id="{985EB4D5-99E1-86E0-2A14-CEAD9D46FC6F}"/>
            </a:ext>
          </a:extLst>
        </xdr:cNvPr>
        <xdr:cNvSpPr/>
      </xdr:nvSpPr>
      <xdr:spPr>
        <a:xfrm>
          <a:off x="12938760" y="3398520"/>
          <a:ext cx="1303020" cy="26670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fld id="{8394E004-7A7E-4D51-9013-C49C53A3B25B}" type="TxLink">
            <a:rPr lang="en-US" sz="900" b="0" i="0" u="none" strike="noStrike">
              <a:solidFill>
                <a:srgbClr val="000000"/>
              </a:solidFill>
              <a:latin typeface="Aptos Narrow"/>
            </a:rPr>
            <a:pPr marL="0" indent="0">
              <a:buNone/>
            </a:pPr>
            <a:t>Buses Required: 19 · Capacity Utilization: 24.68%</a:t>
          </a:fld>
          <a:endParaRPr lang="en-US" sz="400"/>
        </a:p>
      </xdr:txBody>
    </xdr:sp>
    <xdr:clientData/>
  </xdr:twoCellAnchor>
  <xdr:twoCellAnchor>
    <xdr:from>
      <xdr:col>17</xdr:col>
      <xdr:colOff>335280</xdr:colOff>
      <xdr:row>12</xdr:row>
      <xdr:rowOff>114300</xdr:rowOff>
    </xdr:from>
    <xdr:to>
      <xdr:col>19</xdr:col>
      <xdr:colOff>304800</xdr:colOff>
      <xdr:row>19</xdr:row>
      <xdr:rowOff>22860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827D2280-D16A-7C85-C0FB-D871FAF09E31}"/>
            </a:ext>
          </a:extLst>
        </xdr:cNvPr>
        <xdr:cNvSpPr/>
      </xdr:nvSpPr>
      <xdr:spPr>
        <a:xfrm>
          <a:off x="10698480" y="2308860"/>
          <a:ext cx="1188720" cy="1188720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464820</xdr:colOff>
      <xdr:row>14</xdr:row>
      <xdr:rowOff>106680</xdr:rowOff>
    </xdr:from>
    <xdr:to>
      <xdr:col>19</xdr:col>
      <xdr:colOff>129540</xdr:colOff>
      <xdr:row>16</xdr:row>
      <xdr:rowOff>15240</xdr:rowOff>
    </xdr:to>
    <xdr:sp macro="" textlink="'Analysis 01'!AQ8">
      <xdr:nvSpPr>
        <xdr:cNvPr id="50" name="TextBox 49">
          <a:extLst>
            <a:ext uri="{FF2B5EF4-FFF2-40B4-BE49-F238E27FC236}">
              <a16:creationId xmlns:a16="http://schemas.microsoft.com/office/drawing/2014/main" id="{478F191C-D9D2-F56E-5322-920713AA2779}"/>
            </a:ext>
          </a:extLst>
        </xdr:cNvPr>
        <xdr:cNvSpPr txBox="1"/>
      </xdr:nvSpPr>
      <xdr:spPr>
        <a:xfrm>
          <a:off x="10828020" y="2667000"/>
          <a:ext cx="88392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4D1E4E3-0ECB-4885-8751-353D5EC3A12F}" type="TxLink">
            <a:rPr lang="en-US" sz="16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algn="ctr"/>
            <a:t>77</a:t>
          </a:fld>
          <a:endParaRPr lang="en-US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17</xdr:col>
      <xdr:colOff>426720</xdr:colOff>
      <xdr:row>16</xdr:row>
      <xdr:rowOff>53340</xdr:rowOff>
    </xdr:from>
    <xdr:to>
      <xdr:col>19</xdr:col>
      <xdr:colOff>213360</xdr:colOff>
      <xdr:row>17</xdr:row>
      <xdr:rowOff>35052</xdr:rowOff>
    </xdr:to>
    <xdr:sp macro="" textlink="">
      <xdr:nvSpPr>
        <xdr:cNvPr id="51" name="Text 61">
          <a:extLst>
            <a:ext uri="{FF2B5EF4-FFF2-40B4-BE49-F238E27FC236}">
              <a16:creationId xmlns:a16="http://schemas.microsoft.com/office/drawing/2014/main" id="{83D0AA3C-3CC1-4EE0-4B6A-8CA0A4857337}"/>
            </a:ext>
          </a:extLst>
        </xdr:cNvPr>
        <xdr:cNvSpPr/>
      </xdr:nvSpPr>
      <xdr:spPr>
        <a:xfrm>
          <a:off x="10789920" y="2979420"/>
          <a:ext cx="1005840" cy="164592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1600" b="1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Buses</a:t>
          </a:r>
          <a:endParaRPr lang="en-US" sz="1600" b="1"/>
        </a:p>
      </xdr:txBody>
    </xdr:sp>
    <xdr:clientData/>
  </xdr:twoCellAnchor>
  <xdr:twoCellAnchor>
    <xdr:from>
      <xdr:col>16</xdr:col>
      <xdr:colOff>289560</xdr:colOff>
      <xdr:row>10</xdr:row>
      <xdr:rowOff>106680</xdr:rowOff>
    </xdr:from>
    <xdr:to>
      <xdr:col>21</xdr:col>
      <xdr:colOff>441960</xdr:colOff>
      <xdr:row>11</xdr:row>
      <xdr:rowOff>88392</xdr:rowOff>
    </xdr:to>
    <xdr:sp macro="" textlink="">
      <xdr:nvSpPr>
        <xdr:cNvPr id="57" name="Text 57">
          <a:extLst>
            <a:ext uri="{FF2B5EF4-FFF2-40B4-BE49-F238E27FC236}">
              <a16:creationId xmlns:a16="http://schemas.microsoft.com/office/drawing/2014/main" id="{EBD2647A-EAD3-092D-F773-91839112F1F2}"/>
            </a:ext>
          </a:extLst>
        </xdr:cNvPr>
        <xdr:cNvSpPr/>
      </xdr:nvSpPr>
      <xdr:spPr>
        <a:xfrm>
          <a:off x="10043160" y="1935480"/>
          <a:ext cx="3200400" cy="164592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00" b="1" kern="0" spc="1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UTILIZATION CATEGORIES</a:t>
          </a:r>
          <a:endParaRPr lang="en-US" sz="1000"/>
        </a:p>
      </xdr:txBody>
    </xdr:sp>
    <xdr:clientData/>
  </xdr:twoCellAnchor>
  <xdr:twoCellAnchor>
    <xdr:from>
      <xdr:col>15</xdr:col>
      <xdr:colOff>76200</xdr:colOff>
      <xdr:row>22</xdr:row>
      <xdr:rowOff>106680</xdr:rowOff>
    </xdr:from>
    <xdr:to>
      <xdr:col>23</xdr:col>
      <xdr:colOff>236220</xdr:colOff>
      <xdr:row>27</xdr:row>
      <xdr:rowOff>106680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5F576EFC-1889-49FF-AD08-3497D5DB7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251460</xdr:colOff>
      <xdr:row>22</xdr:row>
      <xdr:rowOff>70104</xdr:rowOff>
    </xdr:from>
    <xdr:to>
      <xdr:col>17</xdr:col>
      <xdr:colOff>38100</xdr:colOff>
      <xdr:row>23</xdr:row>
      <xdr:rowOff>51816</xdr:rowOff>
    </xdr:to>
    <xdr:sp macro="" textlink="">
      <xdr:nvSpPr>
        <xdr:cNvPr id="60" name="Text 67">
          <a:extLst>
            <a:ext uri="{FF2B5EF4-FFF2-40B4-BE49-F238E27FC236}">
              <a16:creationId xmlns:a16="http://schemas.microsoft.com/office/drawing/2014/main" id="{3DB04C1D-7B4F-437F-BE2D-5F2D7772AEC2}"/>
            </a:ext>
          </a:extLst>
        </xdr:cNvPr>
        <xdr:cNvSpPr/>
      </xdr:nvSpPr>
      <xdr:spPr>
        <a:xfrm>
          <a:off x="9395460" y="4093464"/>
          <a:ext cx="1005840" cy="164592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9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PM Riders</a:t>
          </a:r>
          <a:endParaRPr lang="en-US" sz="900"/>
        </a:p>
      </xdr:txBody>
    </xdr:sp>
    <xdr:clientData/>
  </xdr:twoCellAnchor>
  <xdr:twoCellAnchor>
    <xdr:from>
      <xdr:col>15</xdr:col>
      <xdr:colOff>228600</xdr:colOff>
      <xdr:row>24</xdr:row>
      <xdr:rowOff>161544</xdr:rowOff>
    </xdr:from>
    <xdr:to>
      <xdr:col>17</xdr:col>
      <xdr:colOff>15240</xdr:colOff>
      <xdr:row>25</xdr:row>
      <xdr:rowOff>143256</xdr:rowOff>
    </xdr:to>
    <xdr:sp macro="" textlink="">
      <xdr:nvSpPr>
        <xdr:cNvPr id="63" name="Text 67">
          <a:extLst>
            <a:ext uri="{FF2B5EF4-FFF2-40B4-BE49-F238E27FC236}">
              <a16:creationId xmlns:a16="http://schemas.microsoft.com/office/drawing/2014/main" id="{E7982922-C0E1-E77C-DF24-084656BCE5E0}"/>
            </a:ext>
          </a:extLst>
        </xdr:cNvPr>
        <xdr:cNvSpPr/>
      </xdr:nvSpPr>
      <xdr:spPr>
        <a:xfrm>
          <a:off x="9372600" y="4550664"/>
          <a:ext cx="1005840" cy="164592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9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AM Riders</a:t>
          </a:r>
          <a:endParaRPr lang="en-US" sz="900"/>
        </a:p>
      </xdr:txBody>
    </xdr:sp>
    <xdr:clientData/>
  </xdr:twoCellAnchor>
  <xdr:twoCellAnchor>
    <xdr:from>
      <xdr:col>21</xdr:col>
      <xdr:colOff>312420</xdr:colOff>
      <xdr:row>22</xdr:row>
      <xdr:rowOff>83820</xdr:rowOff>
    </xdr:from>
    <xdr:to>
      <xdr:col>22</xdr:col>
      <xdr:colOff>91440</xdr:colOff>
      <xdr:row>23</xdr:row>
      <xdr:rowOff>53340</xdr:rowOff>
    </xdr:to>
    <xdr:sp macro="" textlink="'Analysis 01'!AY13">
      <xdr:nvSpPr>
        <xdr:cNvPr id="65" name="Text 67">
          <a:extLst>
            <a:ext uri="{FF2B5EF4-FFF2-40B4-BE49-F238E27FC236}">
              <a16:creationId xmlns:a16="http://schemas.microsoft.com/office/drawing/2014/main" id="{321ED8A0-8DB2-7F30-B0B9-E2329E8F14F0}"/>
            </a:ext>
          </a:extLst>
        </xdr:cNvPr>
        <xdr:cNvSpPr/>
      </xdr:nvSpPr>
      <xdr:spPr>
        <a:xfrm>
          <a:off x="13114020" y="4107180"/>
          <a:ext cx="388620" cy="15240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None/>
          </a:pPr>
          <a:fld id="{FD43A485-5BC8-4222-BC97-0D5EBBB97D86}" type="TxLink">
            <a:rPr lang="en-US" sz="900" b="1" i="0" u="none" strike="noStrike" kern="1200">
              <a:solidFill>
                <a:srgbClr val="BA7517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marL="0" indent="0" algn="l" defTabSz="914400" rtl="0" eaLnBrk="1" latinLnBrk="0" hangingPunct="1">
              <a:buNone/>
            </a:pPr>
            <a:t>64.61%</a:t>
          </a:fld>
          <a:endParaRPr lang="en-US" sz="900" b="1" i="0" u="none" strike="noStrike" kern="1200">
            <a:solidFill>
              <a:srgbClr val="BA7517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21</xdr:col>
      <xdr:colOff>312420</xdr:colOff>
      <xdr:row>24</xdr:row>
      <xdr:rowOff>175260</xdr:rowOff>
    </xdr:from>
    <xdr:to>
      <xdr:col>22</xdr:col>
      <xdr:colOff>91440</xdr:colOff>
      <xdr:row>25</xdr:row>
      <xdr:rowOff>144780</xdr:rowOff>
    </xdr:to>
    <xdr:sp macro="" textlink="'Analysis 01'!AY12">
      <xdr:nvSpPr>
        <xdr:cNvPr id="72" name="Text 67">
          <a:extLst>
            <a:ext uri="{FF2B5EF4-FFF2-40B4-BE49-F238E27FC236}">
              <a16:creationId xmlns:a16="http://schemas.microsoft.com/office/drawing/2014/main" id="{A3D0E335-4F7A-B10E-A85B-DC90B1D17750}"/>
            </a:ext>
          </a:extLst>
        </xdr:cNvPr>
        <xdr:cNvSpPr/>
      </xdr:nvSpPr>
      <xdr:spPr>
        <a:xfrm>
          <a:off x="13114020" y="4564380"/>
          <a:ext cx="388620" cy="15240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fld id="{4C76EEE6-80DF-47D2-8E41-34A16A19BF45}" type="TxLink">
            <a:rPr lang="en-US" sz="900" b="1" i="0" u="none" strike="noStrike">
              <a:solidFill>
                <a:srgbClr val="534AB7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 marL="0" indent="0">
              <a:buNone/>
            </a:pPr>
            <a:t>35.39%</a:t>
          </a:fld>
          <a:endParaRPr lang="en-US" sz="600" b="1">
            <a:solidFill>
              <a:srgbClr val="534AB7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15</xdr:col>
      <xdr:colOff>53340</xdr:colOff>
      <xdr:row>27</xdr:row>
      <xdr:rowOff>7620</xdr:rowOff>
    </xdr:from>
    <xdr:to>
      <xdr:col>23</xdr:col>
      <xdr:colOff>281940</xdr:colOff>
      <xdr:row>27</xdr:row>
      <xdr:rowOff>7620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67F40D33-0FD9-0152-51FF-B28A96187699}"/>
            </a:ext>
          </a:extLst>
        </xdr:cNvPr>
        <xdr:cNvCxnSpPr/>
      </xdr:nvCxnSpPr>
      <xdr:spPr>
        <a:xfrm>
          <a:off x="9197340" y="4945380"/>
          <a:ext cx="5105400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236219</xdr:colOff>
      <xdr:row>27</xdr:row>
      <xdr:rowOff>44196</xdr:rowOff>
    </xdr:from>
    <xdr:to>
      <xdr:col>17</xdr:col>
      <xdr:colOff>7620</xdr:colOff>
      <xdr:row>28</xdr:row>
      <xdr:rowOff>76200</xdr:rowOff>
    </xdr:to>
    <xdr:sp macro="" textlink="">
      <xdr:nvSpPr>
        <xdr:cNvPr id="77" name="Text 87">
          <a:extLst>
            <a:ext uri="{FF2B5EF4-FFF2-40B4-BE49-F238E27FC236}">
              <a16:creationId xmlns:a16="http://schemas.microsoft.com/office/drawing/2014/main" id="{812850E1-5561-4B7F-A539-5CEDE95BA99B}"/>
            </a:ext>
          </a:extLst>
        </xdr:cNvPr>
        <xdr:cNvSpPr/>
      </xdr:nvSpPr>
      <xdr:spPr>
        <a:xfrm>
          <a:off x="9380219" y="4981956"/>
          <a:ext cx="990601" cy="214884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2023 distribution</a:t>
          </a:r>
          <a:endParaRPr lang="en-US" sz="1000"/>
        </a:p>
      </xdr:txBody>
    </xdr:sp>
    <xdr:clientData/>
  </xdr:twoCellAnchor>
  <xdr:twoCellAnchor>
    <xdr:from>
      <xdr:col>22</xdr:col>
      <xdr:colOff>38100</xdr:colOff>
      <xdr:row>27</xdr:row>
      <xdr:rowOff>97536</xdr:rowOff>
    </xdr:from>
    <xdr:to>
      <xdr:col>22</xdr:col>
      <xdr:colOff>441960</xdr:colOff>
      <xdr:row>28</xdr:row>
      <xdr:rowOff>76200</xdr:rowOff>
    </xdr:to>
    <xdr:sp macro="" textlink="'Analysis 01'!AY18">
      <xdr:nvSpPr>
        <xdr:cNvPr id="78" name="Text 88">
          <a:extLst>
            <a:ext uri="{FF2B5EF4-FFF2-40B4-BE49-F238E27FC236}">
              <a16:creationId xmlns:a16="http://schemas.microsoft.com/office/drawing/2014/main" id="{1B28CE20-8C88-1973-F81F-D6252D33D469}"/>
            </a:ext>
          </a:extLst>
        </xdr:cNvPr>
        <xdr:cNvSpPr/>
      </xdr:nvSpPr>
      <xdr:spPr>
        <a:xfrm>
          <a:off x="13449300" y="5035296"/>
          <a:ext cx="403860" cy="161544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 defTabSz="914400" rtl="0" eaLnBrk="1" latinLnBrk="0" hangingPunct="1">
            <a:buNone/>
          </a:pPr>
          <a:fld id="{8727BE5C-A4DB-4D07-A3B2-FF6AF7450689}" type="TxLink">
            <a:rPr lang="en-US" sz="1000" b="1" kern="1200">
              <a:solidFill>
                <a:srgbClr val="1D9E75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pPr marL="0" indent="0" algn="r" defTabSz="914400" rtl="0" eaLnBrk="1" latinLnBrk="0" hangingPunct="1">
              <a:buNone/>
            </a:pPr>
            <a:t>85.84%</a:t>
          </a:fld>
          <a:endParaRPr lang="en-US" sz="1000" b="1" kern="1200">
            <a:solidFill>
              <a:srgbClr val="1D9E75"/>
            </a:solidFill>
            <a:latin typeface="Calibri" pitchFamily="34" charset="0"/>
            <a:ea typeface="Calibri" pitchFamily="34" charset="-122"/>
            <a:cs typeface="Calibri" pitchFamily="34" charset="-120"/>
          </a:endParaRPr>
        </a:p>
      </xdr:txBody>
    </xdr:sp>
    <xdr:clientData/>
  </xdr:twoCellAnchor>
  <xdr:twoCellAnchor>
    <xdr:from>
      <xdr:col>15</xdr:col>
      <xdr:colOff>236219</xdr:colOff>
      <xdr:row>28</xdr:row>
      <xdr:rowOff>99060</xdr:rowOff>
    </xdr:from>
    <xdr:to>
      <xdr:col>17</xdr:col>
      <xdr:colOff>15240</xdr:colOff>
      <xdr:row>29</xdr:row>
      <xdr:rowOff>144780</xdr:rowOff>
    </xdr:to>
    <xdr:sp macro="" textlink="">
      <xdr:nvSpPr>
        <xdr:cNvPr id="79" name="Text 89">
          <a:extLst>
            <a:ext uri="{FF2B5EF4-FFF2-40B4-BE49-F238E27FC236}">
              <a16:creationId xmlns:a16="http://schemas.microsoft.com/office/drawing/2014/main" id="{187214B5-7F88-6C29-AB8B-DE564AB16817}"/>
            </a:ext>
          </a:extLst>
        </xdr:cNvPr>
        <xdr:cNvSpPr/>
      </xdr:nvSpPr>
      <xdr:spPr>
        <a:xfrm>
          <a:off x="9380219" y="5219700"/>
          <a:ext cx="998221" cy="22860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2024 distribution</a:t>
          </a:r>
          <a:endParaRPr lang="en-US" sz="1000"/>
        </a:p>
      </xdr:txBody>
    </xdr:sp>
    <xdr:clientData/>
  </xdr:twoCellAnchor>
  <xdr:twoCellAnchor>
    <xdr:from>
      <xdr:col>22</xdr:col>
      <xdr:colOff>38100</xdr:colOff>
      <xdr:row>28</xdr:row>
      <xdr:rowOff>160020</xdr:rowOff>
    </xdr:from>
    <xdr:to>
      <xdr:col>22</xdr:col>
      <xdr:colOff>441960</xdr:colOff>
      <xdr:row>29</xdr:row>
      <xdr:rowOff>121920</xdr:rowOff>
    </xdr:to>
    <xdr:sp macro="" textlink="'Analysis 01'!AY19">
      <xdr:nvSpPr>
        <xdr:cNvPr id="80" name="Text 90">
          <a:extLst>
            <a:ext uri="{FF2B5EF4-FFF2-40B4-BE49-F238E27FC236}">
              <a16:creationId xmlns:a16="http://schemas.microsoft.com/office/drawing/2014/main" id="{33C7A77A-607B-9D01-4F1C-67C0B817DD40}"/>
            </a:ext>
          </a:extLst>
        </xdr:cNvPr>
        <xdr:cNvSpPr/>
      </xdr:nvSpPr>
      <xdr:spPr>
        <a:xfrm>
          <a:off x="13449300" y="5280660"/>
          <a:ext cx="403860" cy="14478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 defTabSz="914400" rtl="0" eaLnBrk="1" latinLnBrk="0" hangingPunct="1">
            <a:buNone/>
          </a:pPr>
          <a:fld id="{2EA5276E-25C2-4C49-8CFF-2C92042FEBA2}" type="TxLink">
            <a:rPr lang="en-US" sz="1000" b="1" kern="1200">
              <a:solidFill>
                <a:srgbClr val="BA7517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pPr marL="0" indent="0" algn="r" defTabSz="914400" rtl="0" eaLnBrk="1" latinLnBrk="0" hangingPunct="1">
              <a:buNone/>
            </a:pPr>
            <a:t>14.16%</a:t>
          </a:fld>
          <a:endParaRPr lang="en-US" sz="1000" b="1" kern="1200">
            <a:solidFill>
              <a:srgbClr val="BA7517"/>
            </a:solidFill>
            <a:latin typeface="Calibri" pitchFamily="34" charset="0"/>
            <a:ea typeface="Calibri" pitchFamily="34" charset="-122"/>
            <a:cs typeface="Calibri" pitchFamily="34" charset="-120"/>
          </a:endParaRPr>
        </a:p>
      </xdr:txBody>
    </xdr:sp>
    <xdr:clientData/>
  </xdr:twoCellAnchor>
  <xdr:twoCellAnchor>
    <xdr:from>
      <xdr:col>15</xdr:col>
      <xdr:colOff>114300</xdr:colOff>
      <xdr:row>21</xdr:row>
      <xdr:rowOff>15240</xdr:rowOff>
    </xdr:from>
    <xdr:to>
      <xdr:col>19</xdr:col>
      <xdr:colOff>236220</xdr:colOff>
      <xdr:row>21</xdr:row>
      <xdr:rowOff>179832</xdr:rowOff>
    </xdr:to>
    <xdr:sp macro="" textlink="">
      <xdr:nvSpPr>
        <xdr:cNvPr id="81" name="Text 77">
          <a:extLst>
            <a:ext uri="{FF2B5EF4-FFF2-40B4-BE49-F238E27FC236}">
              <a16:creationId xmlns:a16="http://schemas.microsoft.com/office/drawing/2014/main" id="{3E544262-7E62-CF8C-9F85-F06EFD834C0A}"/>
            </a:ext>
          </a:extLst>
        </xdr:cNvPr>
        <xdr:cNvSpPr/>
      </xdr:nvSpPr>
      <xdr:spPr>
        <a:xfrm>
          <a:off x="9258300" y="3855720"/>
          <a:ext cx="2560320" cy="164592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00" b="1" kern="0" spc="1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RIDERS BY MOMENT</a:t>
          </a:r>
          <a:endParaRPr lang="en-US" sz="10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0</xdr:row>
      <xdr:rowOff>144780</xdr:rowOff>
    </xdr:from>
    <xdr:to>
      <xdr:col>23</xdr:col>
      <xdr:colOff>320040</xdr:colOff>
      <xdr:row>3</xdr:row>
      <xdr:rowOff>71628</xdr:rowOff>
    </xdr:to>
    <xdr:sp macro="" textlink="">
      <xdr:nvSpPr>
        <xdr:cNvPr id="2" name="Shape 0">
          <a:extLst>
            <a:ext uri="{FF2B5EF4-FFF2-40B4-BE49-F238E27FC236}">
              <a16:creationId xmlns:a16="http://schemas.microsoft.com/office/drawing/2014/main" id="{5F13D5C0-614E-4EF9-9B69-96DEFFE526A8}"/>
            </a:ext>
          </a:extLst>
        </xdr:cNvPr>
        <xdr:cNvSpPr/>
      </xdr:nvSpPr>
      <xdr:spPr>
        <a:xfrm>
          <a:off x="175260" y="144780"/>
          <a:ext cx="14165580" cy="475488"/>
        </a:xfrm>
        <a:prstGeom prst="roundRect">
          <a:avLst/>
        </a:prstGeom>
        <a:solidFill>
          <a:srgbClr val="3C3489"/>
        </a:solidFill>
        <a:ln w="12700">
          <a:solidFill>
            <a:srgbClr val="3C3489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243840</xdr:colOff>
      <xdr:row>1</xdr:row>
      <xdr:rowOff>15240</xdr:rowOff>
    </xdr:from>
    <xdr:to>
      <xdr:col>4</xdr:col>
      <xdr:colOff>0</xdr:colOff>
      <xdr:row>2</xdr:row>
      <xdr:rowOff>179832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D0015840-4AE4-41FE-B8AD-8087E6CD35EA}"/>
            </a:ext>
          </a:extLst>
        </xdr:cNvPr>
        <xdr:cNvSpPr/>
      </xdr:nvSpPr>
      <xdr:spPr>
        <a:xfrm>
          <a:off x="243840" y="198120"/>
          <a:ext cx="2194560" cy="347472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300" b="1">
              <a:solidFill>
                <a:srgbClr val="EEEDFE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TransitPulse</a:t>
          </a:r>
          <a:r>
            <a:rPr lang="en-US" sz="1300" b="1" baseline="0">
              <a:solidFill>
                <a:srgbClr val="EEEDFE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 - </a:t>
          </a:r>
          <a:r>
            <a:rPr lang="en-US" sz="1300" b="1" baseline="0">
              <a:solidFill>
                <a:srgbClr val="AFA9EC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Demographics</a:t>
          </a:r>
          <a:endParaRPr lang="en-US" sz="1300">
            <a:solidFill>
              <a:srgbClr val="AFA9EC"/>
            </a:solidFill>
          </a:endParaRPr>
        </a:p>
      </xdr:txBody>
    </xdr:sp>
    <xdr:clientData/>
  </xdr:twoCellAnchor>
  <xdr:twoCellAnchor>
    <xdr:from>
      <xdr:col>0</xdr:col>
      <xdr:colOff>213360</xdr:colOff>
      <xdr:row>5</xdr:row>
      <xdr:rowOff>15240</xdr:rowOff>
    </xdr:from>
    <xdr:to>
      <xdr:col>5</xdr:col>
      <xdr:colOff>541020</xdr:colOff>
      <xdr:row>9</xdr:row>
      <xdr:rowOff>144780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FAFDBD88-01F6-482E-9CB9-F380CFDE26FD}"/>
            </a:ext>
          </a:extLst>
        </xdr:cNvPr>
        <xdr:cNvGrpSpPr/>
      </xdr:nvGrpSpPr>
      <xdr:grpSpPr>
        <a:xfrm>
          <a:off x="213360" y="929640"/>
          <a:ext cx="3375660" cy="861060"/>
          <a:chOff x="441960" y="952500"/>
          <a:chExt cx="3093720" cy="861060"/>
        </a:xfrm>
      </xdr:grpSpPr>
      <xdr:sp macro="" textlink="">
        <xdr:nvSpPr>
          <xdr:cNvPr id="6" name="Shape 8">
            <a:extLst>
              <a:ext uri="{FF2B5EF4-FFF2-40B4-BE49-F238E27FC236}">
                <a16:creationId xmlns:a16="http://schemas.microsoft.com/office/drawing/2014/main" id="{3C1BA728-3A0B-CA0F-0F78-4885C1465376}"/>
              </a:ext>
            </a:extLst>
          </xdr:cNvPr>
          <xdr:cNvSpPr/>
        </xdr:nvSpPr>
        <xdr:spPr>
          <a:xfrm>
            <a:off x="441960" y="998220"/>
            <a:ext cx="3093720" cy="815340"/>
          </a:xfrm>
          <a:prstGeom prst="rect">
            <a:avLst/>
          </a:prstGeom>
          <a:solidFill>
            <a:srgbClr val="FFFFFF"/>
          </a:solidFill>
          <a:ln w="6350">
            <a:solidFill>
              <a:srgbClr val="D3D1C7"/>
            </a:solidFill>
            <a:prstDash val="solid"/>
          </a:ln>
          <a:effectLst>
            <a:outerShdw blurRad="101600" dist="25400" dir="8100000" algn="bl" rotWithShape="0">
              <a:srgbClr val="000000">
                <a:alpha val="7000"/>
              </a:srgbClr>
            </a:outerShdw>
          </a:effectLst>
        </xdr:spPr>
        <xdr:txBody>
          <a:bodyPr wrap="square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7" name="Shape 9">
            <a:extLst>
              <a:ext uri="{FF2B5EF4-FFF2-40B4-BE49-F238E27FC236}">
                <a16:creationId xmlns:a16="http://schemas.microsoft.com/office/drawing/2014/main" id="{E9C4150F-ABC7-F020-027F-003B148CA152}"/>
              </a:ext>
            </a:extLst>
          </xdr:cNvPr>
          <xdr:cNvSpPr/>
        </xdr:nvSpPr>
        <xdr:spPr>
          <a:xfrm>
            <a:off x="449580" y="952500"/>
            <a:ext cx="3086100" cy="53340"/>
          </a:xfrm>
          <a:prstGeom prst="rect">
            <a:avLst/>
          </a:prstGeom>
          <a:solidFill>
            <a:srgbClr val="1D9E75"/>
          </a:solidFill>
          <a:ln w="12700">
            <a:solidFill>
              <a:srgbClr val="1D9E75"/>
            </a:solidFill>
            <a:prstDash val="solid"/>
          </a:ln>
        </xdr:spPr>
        <xdr:txBody>
          <a:bodyPr wrap="square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8" name="Text 10">
            <a:extLst>
              <a:ext uri="{FF2B5EF4-FFF2-40B4-BE49-F238E27FC236}">
                <a16:creationId xmlns:a16="http://schemas.microsoft.com/office/drawing/2014/main" id="{1B01B85A-E561-CA60-13B0-ECE34A8BFFAB}"/>
              </a:ext>
            </a:extLst>
          </xdr:cNvPr>
          <xdr:cNvSpPr/>
        </xdr:nvSpPr>
        <xdr:spPr>
          <a:xfrm>
            <a:off x="539730" y="1144524"/>
            <a:ext cx="2947065" cy="112776"/>
          </a:xfrm>
          <a:prstGeom prst="rect">
            <a:avLst/>
          </a:prstGeom>
          <a:noFill/>
          <a:ln/>
        </xdr:spPr>
        <xdr:txBody>
          <a:bodyPr wrap="square" lIns="0" tIns="0" rIns="0" bIns="0" rtlCol="0" anchor="ctr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None/>
            </a:pPr>
            <a:r>
              <a:rPr lang="en-US" sz="700" kern="0" spc="100">
                <a:solidFill>
                  <a:srgbClr val="888780"/>
                </a:solidFill>
                <a:latin typeface="Calibri" pitchFamily="34" charset="0"/>
                <a:ea typeface="Calibri" pitchFamily="34" charset="-122"/>
                <a:cs typeface="Calibri" pitchFamily="34" charset="-120"/>
              </a:rPr>
              <a:t>TOTAL RIDERS</a:t>
            </a:r>
            <a:endParaRPr lang="en-US" sz="700"/>
          </a:p>
        </xdr:txBody>
      </xdr:sp>
      <xdr:sp macro="" textlink="'Analysis 01'!B9">
        <xdr:nvSpPr>
          <xdr:cNvPr id="9" name="Text 11">
            <a:extLst>
              <a:ext uri="{FF2B5EF4-FFF2-40B4-BE49-F238E27FC236}">
                <a16:creationId xmlns:a16="http://schemas.microsoft.com/office/drawing/2014/main" id="{150DE3BE-E581-053D-F47C-A67A665856EA}"/>
              </a:ext>
            </a:extLst>
          </xdr:cNvPr>
          <xdr:cNvSpPr/>
        </xdr:nvSpPr>
        <xdr:spPr>
          <a:xfrm>
            <a:off x="462911" y="1290828"/>
            <a:ext cx="3058801" cy="310896"/>
          </a:xfrm>
          <a:prstGeom prst="rect">
            <a:avLst/>
          </a:prstGeom>
          <a:noFill/>
          <a:ln/>
        </xdr:spPr>
        <xdr:txBody>
          <a:bodyPr wrap="square" lIns="0" tIns="0" rIns="0" bIns="0" rtlCol="0" anchor="ctr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None/>
            </a:pPr>
            <a:fld id="{3FE379A8-8160-4FBC-9D0D-456343BAE383}" type="TxLink">
              <a:rPr lang="en-US" sz="2200" b="1" i="0" u="none" strike="noStrike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pPr marL="0" indent="0" algn="ctr">
                <a:buNone/>
              </a:pPr>
              <a:t>6,587</a:t>
            </a:fld>
            <a:endParaRPr lang="en-US" sz="22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6</xdr:col>
      <xdr:colOff>122936</xdr:colOff>
      <xdr:row>5</xdr:row>
      <xdr:rowOff>15240</xdr:rowOff>
    </xdr:from>
    <xdr:to>
      <xdr:col>11</xdr:col>
      <xdr:colOff>449072</xdr:colOff>
      <xdr:row>9</xdr:row>
      <xdr:rowOff>144780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B08F643B-2CED-4C3D-88C1-A8508FB9CE02}"/>
            </a:ext>
          </a:extLst>
        </xdr:cNvPr>
        <xdr:cNvGrpSpPr/>
      </xdr:nvGrpSpPr>
      <xdr:grpSpPr>
        <a:xfrm>
          <a:off x="3780536" y="929640"/>
          <a:ext cx="3374136" cy="861060"/>
          <a:chOff x="441960" y="952500"/>
          <a:chExt cx="3093720" cy="861060"/>
        </a:xfrm>
      </xdr:grpSpPr>
      <xdr:sp macro="" textlink="">
        <xdr:nvSpPr>
          <xdr:cNvPr id="11" name="Shape 8">
            <a:extLst>
              <a:ext uri="{FF2B5EF4-FFF2-40B4-BE49-F238E27FC236}">
                <a16:creationId xmlns:a16="http://schemas.microsoft.com/office/drawing/2014/main" id="{9FF92775-F248-C384-E489-EE0168643373}"/>
              </a:ext>
            </a:extLst>
          </xdr:cNvPr>
          <xdr:cNvSpPr/>
        </xdr:nvSpPr>
        <xdr:spPr>
          <a:xfrm>
            <a:off x="441960" y="998220"/>
            <a:ext cx="3093720" cy="815340"/>
          </a:xfrm>
          <a:prstGeom prst="rect">
            <a:avLst/>
          </a:prstGeom>
          <a:solidFill>
            <a:srgbClr val="FFFFFF"/>
          </a:solidFill>
          <a:ln w="6350">
            <a:solidFill>
              <a:srgbClr val="D3D1C7"/>
            </a:solidFill>
            <a:prstDash val="solid"/>
          </a:ln>
          <a:effectLst>
            <a:outerShdw blurRad="101600" dist="25400" dir="8100000" algn="bl" rotWithShape="0">
              <a:srgbClr val="000000">
                <a:alpha val="7000"/>
              </a:srgbClr>
            </a:outerShdw>
          </a:effectLst>
        </xdr:spPr>
        <xdr:txBody>
          <a:bodyPr wrap="square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2" name="Shape 9">
            <a:extLst>
              <a:ext uri="{FF2B5EF4-FFF2-40B4-BE49-F238E27FC236}">
                <a16:creationId xmlns:a16="http://schemas.microsoft.com/office/drawing/2014/main" id="{94DEE0FE-01B1-CC87-AB6D-60112B4343B8}"/>
              </a:ext>
            </a:extLst>
          </xdr:cNvPr>
          <xdr:cNvSpPr/>
        </xdr:nvSpPr>
        <xdr:spPr>
          <a:xfrm>
            <a:off x="449580" y="952500"/>
            <a:ext cx="3086100" cy="53340"/>
          </a:xfrm>
          <a:prstGeom prst="rect">
            <a:avLst/>
          </a:prstGeom>
          <a:solidFill>
            <a:srgbClr val="534AB7"/>
          </a:solidFill>
          <a:ln w="12700">
            <a:solidFill>
              <a:srgbClr val="534AB7"/>
            </a:solidFill>
            <a:prstDash val="solid"/>
          </a:ln>
        </xdr:spPr>
        <xdr:txBody>
          <a:bodyPr wrap="square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3" name="Text 10">
            <a:extLst>
              <a:ext uri="{FF2B5EF4-FFF2-40B4-BE49-F238E27FC236}">
                <a16:creationId xmlns:a16="http://schemas.microsoft.com/office/drawing/2014/main" id="{5442FAF8-C98E-AC61-1C8A-8C65C90A249C}"/>
              </a:ext>
            </a:extLst>
          </xdr:cNvPr>
          <xdr:cNvSpPr/>
        </xdr:nvSpPr>
        <xdr:spPr>
          <a:xfrm>
            <a:off x="461989" y="1144524"/>
            <a:ext cx="3060184" cy="166116"/>
          </a:xfrm>
          <a:prstGeom prst="rect">
            <a:avLst/>
          </a:prstGeom>
          <a:noFill/>
          <a:ln/>
        </xdr:spPr>
        <xdr:txBody>
          <a:bodyPr wrap="square" lIns="0" tIns="0" rIns="0" bIns="0" rtlCol="0" anchor="ctr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None/>
            </a:pPr>
            <a:r>
              <a:rPr lang="en-US" sz="700" kern="0" spc="100">
                <a:solidFill>
                  <a:srgbClr val="888780"/>
                </a:solidFill>
                <a:latin typeface="Calibri" pitchFamily="34" charset="0"/>
                <a:ea typeface="Calibri" pitchFamily="34" charset="-122"/>
                <a:cs typeface="Calibri" pitchFamily="34" charset="-120"/>
              </a:rPr>
              <a:t>AVG. RIDERS / TRIP</a:t>
            </a:r>
          </a:p>
        </xdr:txBody>
      </xdr:sp>
      <xdr:sp macro="" textlink="'Analysis 01'!C9">
        <xdr:nvSpPr>
          <xdr:cNvPr id="14" name="Text 11">
            <a:extLst>
              <a:ext uri="{FF2B5EF4-FFF2-40B4-BE49-F238E27FC236}">
                <a16:creationId xmlns:a16="http://schemas.microsoft.com/office/drawing/2014/main" id="{58F5A8D1-866B-6436-5D29-AE8432184F2F}"/>
              </a:ext>
            </a:extLst>
          </xdr:cNvPr>
          <xdr:cNvSpPr/>
        </xdr:nvSpPr>
        <xdr:spPr>
          <a:xfrm>
            <a:off x="468975" y="1290828"/>
            <a:ext cx="3046210" cy="310896"/>
          </a:xfrm>
          <a:prstGeom prst="rect">
            <a:avLst/>
          </a:prstGeom>
          <a:noFill/>
          <a:ln/>
        </xdr:spPr>
        <xdr:txBody>
          <a:bodyPr wrap="square" lIns="0" tIns="0" rIns="0" bIns="0" rtlCol="0" anchor="ctr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None/>
            </a:pPr>
            <a:fld id="{7A8FFAA3-7370-417A-982B-1B62DC5382CC}" type="TxLink">
              <a:rPr lang="en-US" sz="2200" b="1" i="0" u="none" strike="noStrike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pPr marL="0" indent="0" algn="ctr">
                <a:buNone/>
              </a:pPr>
              <a:t>33</a:t>
            </a:fld>
            <a:endParaRPr lang="en-US" sz="22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17</xdr:col>
      <xdr:colOff>548640</xdr:colOff>
      <xdr:row>5</xdr:row>
      <xdr:rowOff>15240</xdr:rowOff>
    </xdr:from>
    <xdr:to>
      <xdr:col>23</xdr:col>
      <xdr:colOff>265176</xdr:colOff>
      <xdr:row>9</xdr:row>
      <xdr:rowOff>144780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A608A3C2-19FE-481E-8539-9531E659C585}"/>
            </a:ext>
          </a:extLst>
        </xdr:cNvPr>
        <xdr:cNvGrpSpPr/>
      </xdr:nvGrpSpPr>
      <xdr:grpSpPr>
        <a:xfrm>
          <a:off x="10911840" y="929640"/>
          <a:ext cx="3374136" cy="861060"/>
          <a:chOff x="441960" y="952500"/>
          <a:chExt cx="3093720" cy="861060"/>
        </a:xfrm>
      </xdr:grpSpPr>
      <xdr:sp macro="" textlink="">
        <xdr:nvSpPr>
          <xdr:cNvPr id="16" name="Shape 8">
            <a:extLst>
              <a:ext uri="{FF2B5EF4-FFF2-40B4-BE49-F238E27FC236}">
                <a16:creationId xmlns:a16="http://schemas.microsoft.com/office/drawing/2014/main" id="{8FBB6B30-8898-0EA4-2007-552EF0AC8BAB}"/>
              </a:ext>
            </a:extLst>
          </xdr:cNvPr>
          <xdr:cNvSpPr/>
        </xdr:nvSpPr>
        <xdr:spPr>
          <a:xfrm>
            <a:off x="441960" y="998220"/>
            <a:ext cx="3093720" cy="815340"/>
          </a:xfrm>
          <a:prstGeom prst="rect">
            <a:avLst/>
          </a:prstGeom>
          <a:solidFill>
            <a:srgbClr val="FFFFFF"/>
          </a:solidFill>
          <a:ln w="6350">
            <a:solidFill>
              <a:srgbClr val="D3D1C7"/>
            </a:solidFill>
            <a:prstDash val="solid"/>
          </a:ln>
          <a:effectLst>
            <a:outerShdw blurRad="101600" dist="25400" dir="8100000" algn="bl" rotWithShape="0">
              <a:srgbClr val="000000">
                <a:alpha val="7000"/>
              </a:srgbClr>
            </a:outerShdw>
          </a:effectLst>
        </xdr:spPr>
        <xdr:txBody>
          <a:bodyPr wrap="square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7" name="Shape 9">
            <a:extLst>
              <a:ext uri="{FF2B5EF4-FFF2-40B4-BE49-F238E27FC236}">
                <a16:creationId xmlns:a16="http://schemas.microsoft.com/office/drawing/2014/main" id="{C162E1A3-7750-150B-DABF-2C70FB1D2EAC}"/>
              </a:ext>
            </a:extLst>
          </xdr:cNvPr>
          <xdr:cNvSpPr/>
        </xdr:nvSpPr>
        <xdr:spPr>
          <a:xfrm>
            <a:off x="449580" y="952500"/>
            <a:ext cx="3086100" cy="53340"/>
          </a:xfrm>
          <a:prstGeom prst="rect">
            <a:avLst/>
          </a:prstGeom>
          <a:solidFill>
            <a:srgbClr val="BA7517"/>
          </a:solidFill>
          <a:ln w="12700">
            <a:solidFill>
              <a:srgbClr val="BA7517"/>
            </a:solidFill>
            <a:prstDash val="solid"/>
          </a:ln>
        </xdr:spPr>
        <xdr:txBody>
          <a:bodyPr wrap="square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" name="Text 10">
            <a:extLst>
              <a:ext uri="{FF2B5EF4-FFF2-40B4-BE49-F238E27FC236}">
                <a16:creationId xmlns:a16="http://schemas.microsoft.com/office/drawing/2014/main" id="{06B07940-80BE-E68E-93BE-425071B7251B}"/>
              </a:ext>
            </a:extLst>
          </xdr:cNvPr>
          <xdr:cNvSpPr/>
        </xdr:nvSpPr>
        <xdr:spPr>
          <a:xfrm>
            <a:off x="455933" y="1144524"/>
            <a:ext cx="3067170" cy="166116"/>
          </a:xfrm>
          <a:prstGeom prst="rect">
            <a:avLst/>
          </a:prstGeom>
          <a:noFill/>
          <a:ln/>
        </xdr:spPr>
        <xdr:txBody>
          <a:bodyPr wrap="square" lIns="0" tIns="0" rIns="0" bIns="0" rtlCol="0" anchor="ctr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None/>
            </a:pPr>
            <a:r>
              <a:rPr lang="en-US" sz="700" kern="0" spc="100">
                <a:solidFill>
                  <a:srgbClr val="888780"/>
                </a:solidFill>
                <a:latin typeface="Calibri" pitchFamily="34" charset="0"/>
                <a:ea typeface="Calibri" pitchFamily="34" charset="-122"/>
                <a:cs typeface="Calibri" pitchFamily="34" charset="-120"/>
              </a:rPr>
              <a:t>LEAST BUSY ROUTE</a:t>
            </a:r>
          </a:p>
        </xdr:txBody>
      </xdr:sp>
      <xdr:sp macro="" textlink="'Analysis 01'!B21">
        <xdr:nvSpPr>
          <xdr:cNvPr id="19" name="Text 11">
            <a:extLst>
              <a:ext uri="{FF2B5EF4-FFF2-40B4-BE49-F238E27FC236}">
                <a16:creationId xmlns:a16="http://schemas.microsoft.com/office/drawing/2014/main" id="{CEA5B021-3200-E72D-D562-4C25840312A0}"/>
              </a:ext>
            </a:extLst>
          </xdr:cNvPr>
          <xdr:cNvSpPr/>
        </xdr:nvSpPr>
        <xdr:spPr>
          <a:xfrm>
            <a:off x="469907" y="1290828"/>
            <a:ext cx="3053198" cy="310896"/>
          </a:xfrm>
          <a:prstGeom prst="rect">
            <a:avLst/>
          </a:prstGeom>
          <a:noFill/>
          <a:ln/>
        </xdr:spPr>
        <xdr:txBody>
          <a:bodyPr wrap="square" lIns="0" tIns="0" rIns="0" bIns="0" rtlCol="0" anchor="ctr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None/>
            </a:pPr>
            <a:fld id="{2C560609-8A7A-42F5-ADEE-00F46C80EAB4}" type="TxLink">
              <a:rPr lang="en-US" sz="1400" b="1" i="0" u="none" strike="noStrike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pPr marL="0" indent="0" algn="ctr">
                <a:buNone/>
              </a:pPr>
              <a:t>South Line</a:t>
            </a:fld>
            <a:endParaRPr lang="en-US" sz="28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12</xdr:col>
      <xdr:colOff>30988</xdr:colOff>
      <xdr:row>5</xdr:row>
      <xdr:rowOff>15240</xdr:rowOff>
    </xdr:from>
    <xdr:to>
      <xdr:col>17</xdr:col>
      <xdr:colOff>357124</xdr:colOff>
      <xdr:row>9</xdr:row>
      <xdr:rowOff>144780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77D1566C-3D22-4A8B-B841-FB39411208B0}"/>
            </a:ext>
          </a:extLst>
        </xdr:cNvPr>
        <xdr:cNvGrpSpPr/>
      </xdr:nvGrpSpPr>
      <xdr:grpSpPr>
        <a:xfrm>
          <a:off x="7346188" y="929640"/>
          <a:ext cx="3374136" cy="861060"/>
          <a:chOff x="441960" y="952500"/>
          <a:chExt cx="3093720" cy="861060"/>
        </a:xfrm>
      </xdr:grpSpPr>
      <xdr:sp macro="" textlink="">
        <xdr:nvSpPr>
          <xdr:cNvPr id="21" name="Shape 8">
            <a:extLst>
              <a:ext uri="{FF2B5EF4-FFF2-40B4-BE49-F238E27FC236}">
                <a16:creationId xmlns:a16="http://schemas.microsoft.com/office/drawing/2014/main" id="{7AA3554F-BE42-8D67-E5BE-1085C4CEC2AC}"/>
              </a:ext>
            </a:extLst>
          </xdr:cNvPr>
          <xdr:cNvSpPr/>
        </xdr:nvSpPr>
        <xdr:spPr>
          <a:xfrm>
            <a:off x="441960" y="998220"/>
            <a:ext cx="3093720" cy="815340"/>
          </a:xfrm>
          <a:prstGeom prst="rect">
            <a:avLst/>
          </a:prstGeom>
          <a:solidFill>
            <a:srgbClr val="FFFFFF"/>
          </a:solidFill>
          <a:ln w="6350">
            <a:solidFill>
              <a:srgbClr val="D3D1C7"/>
            </a:solidFill>
            <a:prstDash val="solid"/>
          </a:ln>
          <a:effectLst>
            <a:outerShdw blurRad="101600" dist="25400" dir="8100000" algn="bl" rotWithShape="0">
              <a:srgbClr val="000000">
                <a:alpha val="7000"/>
              </a:srgbClr>
            </a:outerShdw>
          </a:effectLst>
        </xdr:spPr>
        <xdr:txBody>
          <a:bodyPr wrap="square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2" name="Shape 9">
            <a:extLst>
              <a:ext uri="{FF2B5EF4-FFF2-40B4-BE49-F238E27FC236}">
                <a16:creationId xmlns:a16="http://schemas.microsoft.com/office/drawing/2014/main" id="{6CFD206F-7FCF-6BBC-EFBD-568AF1177338}"/>
              </a:ext>
            </a:extLst>
          </xdr:cNvPr>
          <xdr:cNvSpPr/>
        </xdr:nvSpPr>
        <xdr:spPr>
          <a:xfrm>
            <a:off x="449580" y="952500"/>
            <a:ext cx="3086100" cy="53340"/>
          </a:xfrm>
          <a:prstGeom prst="rect">
            <a:avLst/>
          </a:prstGeom>
          <a:solidFill>
            <a:srgbClr val="1D9E75"/>
          </a:solidFill>
          <a:ln w="12700">
            <a:solidFill>
              <a:srgbClr val="1D9E75"/>
            </a:solidFill>
            <a:prstDash val="solid"/>
          </a:ln>
        </xdr:spPr>
        <xdr:txBody>
          <a:bodyPr wrap="square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3" name="Text 10">
            <a:extLst>
              <a:ext uri="{FF2B5EF4-FFF2-40B4-BE49-F238E27FC236}">
                <a16:creationId xmlns:a16="http://schemas.microsoft.com/office/drawing/2014/main" id="{A846497B-FEA9-1057-ACC6-0245A9254548}"/>
              </a:ext>
            </a:extLst>
          </xdr:cNvPr>
          <xdr:cNvSpPr/>
        </xdr:nvSpPr>
        <xdr:spPr>
          <a:xfrm>
            <a:off x="455468" y="1120140"/>
            <a:ext cx="3074157" cy="182880"/>
          </a:xfrm>
          <a:prstGeom prst="rect">
            <a:avLst/>
          </a:prstGeom>
          <a:noFill/>
          <a:ln/>
        </xdr:spPr>
        <xdr:txBody>
          <a:bodyPr wrap="square" lIns="0" tIns="0" rIns="0" bIns="0" rtlCol="0" anchor="ctr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None/>
            </a:pPr>
            <a:r>
              <a:rPr lang="en-US" sz="700" kern="0" spc="100">
                <a:solidFill>
                  <a:srgbClr val="888780"/>
                </a:solidFill>
                <a:latin typeface="Calibri" pitchFamily="34" charset="0"/>
                <a:ea typeface="Calibri" pitchFamily="34" charset="-122"/>
                <a:cs typeface="Calibri" pitchFamily="34" charset="-120"/>
              </a:rPr>
              <a:t>BUSIEST ROUTE</a:t>
            </a:r>
          </a:p>
        </xdr:txBody>
      </xdr:sp>
      <xdr:sp macro="" textlink="'Analysis 01'!B15">
        <xdr:nvSpPr>
          <xdr:cNvPr id="24" name="Text 11">
            <a:extLst>
              <a:ext uri="{FF2B5EF4-FFF2-40B4-BE49-F238E27FC236}">
                <a16:creationId xmlns:a16="http://schemas.microsoft.com/office/drawing/2014/main" id="{16458852-5569-56E0-CDBC-D4046773D1DB}"/>
              </a:ext>
            </a:extLst>
          </xdr:cNvPr>
          <xdr:cNvSpPr/>
        </xdr:nvSpPr>
        <xdr:spPr>
          <a:xfrm>
            <a:off x="518348" y="1290828"/>
            <a:ext cx="2997304" cy="310896"/>
          </a:xfrm>
          <a:prstGeom prst="rect">
            <a:avLst/>
          </a:prstGeom>
          <a:noFill/>
          <a:ln/>
        </xdr:spPr>
        <xdr:txBody>
          <a:bodyPr wrap="square" lIns="0" tIns="0" rIns="0" bIns="0" rtlCol="0" anchor="ctr"/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None/>
            </a:pPr>
            <a:fld id="{13629D4F-37B7-4A50-AEE0-F0EA208E31B0}" type="TxLink">
              <a:rPr lang="en-US" sz="1400" b="1" i="0" u="none" strike="noStrike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pPr marL="0" indent="0" algn="ctr">
                <a:buNone/>
              </a:pPr>
              <a:t>East-West Express</a:t>
            </a:fld>
            <a:endParaRPr lang="en-US" sz="14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213360</xdr:colOff>
      <xdr:row>10</xdr:row>
      <xdr:rowOff>30480</xdr:rowOff>
    </xdr:from>
    <xdr:to>
      <xdr:col>6</xdr:col>
      <xdr:colOff>144780</xdr:colOff>
      <xdr:row>29</xdr:row>
      <xdr:rowOff>160020</xdr:rowOff>
    </xdr:to>
    <xdr:sp macro="" textlink="">
      <xdr:nvSpPr>
        <xdr:cNvPr id="25" name="Shape 32">
          <a:extLst>
            <a:ext uri="{FF2B5EF4-FFF2-40B4-BE49-F238E27FC236}">
              <a16:creationId xmlns:a16="http://schemas.microsoft.com/office/drawing/2014/main" id="{59E6270F-CFD9-4168-A0AB-861408EFBAD5}"/>
            </a:ext>
          </a:extLst>
        </xdr:cNvPr>
        <xdr:cNvSpPr/>
      </xdr:nvSpPr>
      <xdr:spPr>
        <a:xfrm>
          <a:off x="213360" y="1859280"/>
          <a:ext cx="3589020" cy="3604260"/>
        </a:xfrm>
        <a:prstGeom prst="rect">
          <a:avLst/>
        </a:prstGeom>
        <a:solidFill>
          <a:srgbClr val="FFFFFF"/>
        </a:solidFill>
        <a:ln w="6350">
          <a:solidFill>
            <a:srgbClr val="D3D1C7"/>
          </a:solidFill>
          <a:prstDash val="solid"/>
        </a:ln>
        <a:effectLst>
          <a:outerShdw blurRad="101600" dist="25400" dir="8100000" algn="bl" rotWithShape="0">
            <a:srgbClr val="000000">
              <a:alpha val="7000"/>
            </a:srgbClr>
          </a:outerShdw>
        </a:effectLst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320040</xdr:colOff>
      <xdr:row>10</xdr:row>
      <xdr:rowOff>99060</xdr:rowOff>
    </xdr:from>
    <xdr:to>
      <xdr:col>5</xdr:col>
      <xdr:colOff>472440</xdr:colOff>
      <xdr:row>11</xdr:row>
      <xdr:rowOff>80772</xdr:rowOff>
    </xdr:to>
    <xdr:sp macro="" textlink="">
      <xdr:nvSpPr>
        <xdr:cNvPr id="27" name="Text 33">
          <a:extLst>
            <a:ext uri="{FF2B5EF4-FFF2-40B4-BE49-F238E27FC236}">
              <a16:creationId xmlns:a16="http://schemas.microsoft.com/office/drawing/2014/main" id="{3B5584C7-1249-4405-9EC0-887895EC8FC9}"/>
            </a:ext>
          </a:extLst>
        </xdr:cNvPr>
        <xdr:cNvSpPr/>
      </xdr:nvSpPr>
      <xdr:spPr>
        <a:xfrm>
          <a:off x="320040" y="1927860"/>
          <a:ext cx="3200400" cy="164592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00" b="1" kern="0" spc="1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RIDERS DISTRIBUTION BY ROUTE</a:t>
          </a:r>
        </a:p>
      </xdr:txBody>
    </xdr:sp>
    <xdr:clientData/>
  </xdr:twoCellAnchor>
  <xdr:twoCellAnchor>
    <xdr:from>
      <xdr:col>0</xdr:col>
      <xdr:colOff>213360</xdr:colOff>
      <xdr:row>12</xdr:row>
      <xdr:rowOff>121920</xdr:rowOff>
    </xdr:from>
    <xdr:to>
      <xdr:col>6</xdr:col>
      <xdr:colOff>144780</xdr:colOff>
      <xdr:row>29</xdr:row>
      <xdr:rowOff>144780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312C840F-AF50-405A-A48A-CA179C0B6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213360</xdr:colOff>
      <xdr:row>10</xdr:row>
      <xdr:rowOff>15240</xdr:rowOff>
    </xdr:from>
    <xdr:to>
      <xdr:col>11</xdr:col>
      <xdr:colOff>434340</xdr:colOff>
      <xdr:row>19</xdr:row>
      <xdr:rowOff>121920</xdr:rowOff>
    </xdr:to>
    <xdr:sp macro="" textlink="">
      <xdr:nvSpPr>
        <xdr:cNvPr id="75" name="Shape 26">
          <a:extLst>
            <a:ext uri="{FF2B5EF4-FFF2-40B4-BE49-F238E27FC236}">
              <a16:creationId xmlns:a16="http://schemas.microsoft.com/office/drawing/2014/main" id="{F1F91410-E634-E097-C651-0117192EA811}"/>
            </a:ext>
          </a:extLst>
        </xdr:cNvPr>
        <xdr:cNvSpPr/>
      </xdr:nvSpPr>
      <xdr:spPr>
        <a:xfrm>
          <a:off x="3870960" y="1844040"/>
          <a:ext cx="3268980" cy="1752600"/>
        </a:xfrm>
        <a:prstGeom prst="rect">
          <a:avLst/>
        </a:prstGeom>
        <a:solidFill>
          <a:srgbClr val="FFFFFF"/>
        </a:solidFill>
        <a:ln w="6350">
          <a:solidFill>
            <a:srgbClr val="D3D1C7"/>
          </a:solidFill>
          <a:prstDash val="solid"/>
        </a:ln>
        <a:effectLst>
          <a:outerShdw blurRad="101600" dist="25400" dir="8100000" algn="bl" rotWithShape="0">
            <a:srgbClr val="000000">
              <a:alpha val="7000"/>
            </a:srgbClr>
          </a:outerShdw>
        </a:effectLst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533400</xdr:colOff>
      <xdr:row>12</xdr:row>
      <xdr:rowOff>110490</xdr:rowOff>
    </xdr:from>
    <xdr:to>
      <xdr:col>7</xdr:col>
      <xdr:colOff>289560</xdr:colOff>
      <xdr:row>13</xdr:row>
      <xdr:rowOff>140970</xdr:rowOff>
    </xdr:to>
    <xdr:sp macro="" textlink="">
      <xdr:nvSpPr>
        <xdr:cNvPr id="76" name="Text 61">
          <a:extLst>
            <a:ext uri="{FF2B5EF4-FFF2-40B4-BE49-F238E27FC236}">
              <a16:creationId xmlns:a16="http://schemas.microsoft.com/office/drawing/2014/main" id="{6378F6E6-0DB8-43F5-B342-7196C16D74B4}"/>
            </a:ext>
          </a:extLst>
        </xdr:cNvPr>
        <xdr:cNvSpPr/>
      </xdr:nvSpPr>
      <xdr:spPr>
        <a:xfrm>
          <a:off x="4191000" y="2305050"/>
          <a:ext cx="365760" cy="21336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1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Male</a:t>
          </a:r>
          <a:endParaRPr lang="en-US" sz="1100"/>
        </a:p>
      </xdr:txBody>
    </xdr:sp>
    <xdr:clientData/>
  </xdr:twoCellAnchor>
  <xdr:twoCellAnchor>
    <xdr:from>
      <xdr:col>6</xdr:col>
      <xdr:colOff>449580</xdr:colOff>
      <xdr:row>14</xdr:row>
      <xdr:rowOff>131445</xdr:rowOff>
    </xdr:from>
    <xdr:to>
      <xdr:col>7</xdr:col>
      <xdr:colOff>373380</xdr:colOff>
      <xdr:row>16</xdr:row>
      <xdr:rowOff>13335</xdr:rowOff>
    </xdr:to>
    <xdr:sp macro="" textlink="">
      <xdr:nvSpPr>
        <xdr:cNvPr id="77" name="Text 61">
          <a:extLst>
            <a:ext uri="{FF2B5EF4-FFF2-40B4-BE49-F238E27FC236}">
              <a16:creationId xmlns:a16="http://schemas.microsoft.com/office/drawing/2014/main" id="{2E95612B-964F-5459-CE98-C5DDC6CA4172}"/>
            </a:ext>
          </a:extLst>
        </xdr:cNvPr>
        <xdr:cNvSpPr/>
      </xdr:nvSpPr>
      <xdr:spPr>
        <a:xfrm>
          <a:off x="4107180" y="2691765"/>
          <a:ext cx="533400" cy="24765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1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Female</a:t>
          </a:r>
          <a:endParaRPr lang="en-US" sz="1100"/>
        </a:p>
      </xdr:txBody>
    </xdr:sp>
    <xdr:clientData/>
  </xdr:twoCellAnchor>
  <xdr:twoCellAnchor>
    <xdr:from>
      <xdr:col>6</xdr:col>
      <xdr:colOff>483870</xdr:colOff>
      <xdr:row>17</xdr:row>
      <xdr:rowOff>3810</xdr:rowOff>
    </xdr:from>
    <xdr:to>
      <xdr:col>7</xdr:col>
      <xdr:colOff>339090</xdr:colOff>
      <xdr:row>18</xdr:row>
      <xdr:rowOff>68580</xdr:rowOff>
    </xdr:to>
    <xdr:sp macro="" textlink="">
      <xdr:nvSpPr>
        <xdr:cNvPr id="78" name="Text 61">
          <a:extLst>
            <a:ext uri="{FF2B5EF4-FFF2-40B4-BE49-F238E27FC236}">
              <a16:creationId xmlns:a16="http://schemas.microsoft.com/office/drawing/2014/main" id="{FD3782E0-F966-C958-A159-59EA941C1305}"/>
            </a:ext>
          </a:extLst>
        </xdr:cNvPr>
        <xdr:cNvSpPr/>
      </xdr:nvSpPr>
      <xdr:spPr>
        <a:xfrm>
          <a:off x="4141470" y="3112770"/>
          <a:ext cx="464820" cy="24765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1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Others</a:t>
          </a:r>
          <a:endParaRPr lang="en-US" sz="1100"/>
        </a:p>
      </xdr:txBody>
    </xdr:sp>
    <xdr:clientData/>
  </xdr:twoCellAnchor>
  <xdr:twoCellAnchor>
    <xdr:from>
      <xdr:col>7</xdr:col>
      <xdr:colOff>405765</xdr:colOff>
      <xdr:row>12</xdr:row>
      <xdr:rowOff>110490</xdr:rowOff>
    </xdr:from>
    <xdr:to>
      <xdr:col>10</xdr:col>
      <xdr:colOff>78105</xdr:colOff>
      <xdr:row>14</xdr:row>
      <xdr:rowOff>3810</xdr:rowOff>
    </xdr:to>
    <xdr:sp macro="" textlink="'Analysis 02'!J18">
      <xdr:nvSpPr>
        <xdr:cNvPr id="79" name="Text 61">
          <a:extLst>
            <a:ext uri="{FF2B5EF4-FFF2-40B4-BE49-F238E27FC236}">
              <a16:creationId xmlns:a16="http://schemas.microsoft.com/office/drawing/2014/main" id="{7A3C0BB3-AB95-300B-9611-A08DD5634D2C}"/>
            </a:ext>
          </a:extLst>
        </xdr:cNvPr>
        <xdr:cNvSpPr/>
      </xdr:nvSpPr>
      <xdr:spPr>
        <a:xfrm>
          <a:off x="4672965" y="2305050"/>
          <a:ext cx="1501140" cy="25908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fld id="{DC7C3F5F-D3D9-4D2C-85CB-3FA544218A1C}" type="TxLink">
            <a:rPr lang="en-US" sz="1400" b="0" i="0" u="none" strike="noStrike">
              <a:solidFill>
                <a:schemeClr val="accent3"/>
              </a:solidFill>
              <a:latin typeface="Aptos Narrow"/>
            </a:rPr>
            <a:t>⬤⬤⬤⬤⬤⬤⬤○○○</a:t>
          </a:fld>
          <a:endParaRPr lang="en-US" sz="1400">
            <a:solidFill>
              <a:schemeClr val="accent3"/>
            </a:solidFill>
          </a:endParaRPr>
        </a:p>
      </xdr:txBody>
    </xdr:sp>
    <xdr:clientData/>
  </xdr:twoCellAnchor>
  <xdr:twoCellAnchor>
    <xdr:from>
      <xdr:col>10</xdr:col>
      <xdr:colOff>186690</xdr:colOff>
      <xdr:row>12</xdr:row>
      <xdr:rowOff>110490</xdr:rowOff>
    </xdr:from>
    <xdr:to>
      <xdr:col>11</xdr:col>
      <xdr:colOff>72390</xdr:colOff>
      <xdr:row>13</xdr:row>
      <xdr:rowOff>156210</xdr:rowOff>
    </xdr:to>
    <xdr:sp macro="" textlink="'Analysis 02'!I18">
      <xdr:nvSpPr>
        <xdr:cNvPr id="82" name="Text 61">
          <a:extLst>
            <a:ext uri="{FF2B5EF4-FFF2-40B4-BE49-F238E27FC236}">
              <a16:creationId xmlns:a16="http://schemas.microsoft.com/office/drawing/2014/main" id="{E56DFD0A-1AA2-6EAE-81AB-B1E440E7AD36}"/>
            </a:ext>
          </a:extLst>
        </xdr:cNvPr>
        <xdr:cNvSpPr/>
      </xdr:nvSpPr>
      <xdr:spPr>
        <a:xfrm>
          <a:off x="6282690" y="2305050"/>
          <a:ext cx="495300" cy="22860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None/>
          </a:pPr>
          <a:fld id="{A355CBF0-7CE1-4BF4-92EA-E24B17A4DBEF}" type="TxLink">
            <a:rPr lang="en-US" sz="1100" kern="12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pPr marL="0" indent="0" algn="l" defTabSz="914400" rtl="0" eaLnBrk="1" latinLnBrk="0" hangingPunct="1">
              <a:buNone/>
            </a:pPr>
            <a:t>74.04%</a:t>
          </a:fld>
          <a:endParaRPr lang="en-US" sz="1100" kern="1200">
            <a:solidFill>
              <a:srgbClr val="888780"/>
            </a:solidFill>
            <a:latin typeface="Calibri" pitchFamily="34" charset="0"/>
            <a:ea typeface="Calibri" pitchFamily="34" charset="-122"/>
            <a:cs typeface="Calibri" pitchFamily="34" charset="-120"/>
          </a:endParaRPr>
        </a:p>
      </xdr:txBody>
    </xdr:sp>
    <xdr:clientData/>
  </xdr:twoCellAnchor>
  <xdr:twoCellAnchor>
    <xdr:from>
      <xdr:col>10</xdr:col>
      <xdr:colOff>186690</xdr:colOff>
      <xdr:row>14</xdr:row>
      <xdr:rowOff>148590</xdr:rowOff>
    </xdr:from>
    <xdr:to>
      <xdr:col>11</xdr:col>
      <xdr:colOff>72390</xdr:colOff>
      <xdr:row>16</xdr:row>
      <xdr:rowOff>11430</xdr:rowOff>
    </xdr:to>
    <xdr:sp macro="" textlink="'Analysis 02'!I17">
      <xdr:nvSpPr>
        <xdr:cNvPr id="83" name="Text 61">
          <a:extLst>
            <a:ext uri="{FF2B5EF4-FFF2-40B4-BE49-F238E27FC236}">
              <a16:creationId xmlns:a16="http://schemas.microsoft.com/office/drawing/2014/main" id="{E09E15EB-E503-4CDA-8056-97F7A6FDE341}"/>
            </a:ext>
          </a:extLst>
        </xdr:cNvPr>
        <xdr:cNvSpPr/>
      </xdr:nvSpPr>
      <xdr:spPr>
        <a:xfrm>
          <a:off x="6282690" y="2708910"/>
          <a:ext cx="495300" cy="22860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None/>
          </a:pPr>
          <a:fld id="{12EC4B04-EFF4-4BC0-A72C-977D2FAF48A2}" type="TxLink">
            <a:rPr lang="en-US" sz="1100" kern="12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pPr marL="0" indent="0" algn="l" defTabSz="914400" rtl="0" eaLnBrk="1" latinLnBrk="0" hangingPunct="1">
              <a:buNone/>
            </a:pPr>
            <a:t>15.29%</a:t>
          </a:fld>
          <a:endParaRPr lang="en-US" sz="1100" kern="1200">
            <a:solidFill>
              <a:srgbClr val="888780"/>
            </a:solidFill>
            <a:latin typeface="Calibri" pitchFamily="34" charset="0"/>
            <a:ea typeface="Calibri" pitchFamily="34" charset="-122"/>
            <a:cs typeface="Calibri" pitchFamily="34" charset="-120"/>
          </a:endParaRPr>
        </a:p>
      </xdr:txBody>
    </xdr:sp>
    <xdr:clientData/>
  </xdr:twoCellAnchor>
  <xdr:twoCellAnchor>
    <xdr:from>
      <xdr:col>10</xdr:col>
      <xdr:colOff>186690</xdr:colOff>
      <xdr:row>17</xdr:row>
      <xdr:rowOff>3810</xdr:rowOff>
    </xdr:from>
    <xdr:to>
      <xdr:col>11</xdr:col>
      <xdr:colOff>72390</xdr:colOff>
      <xdr:row>18</xdr:row>
      <xdr:rowOff>49530</xdr:rowOff>
    </xdr:to>
    <xdr:sp macro="" textlink="'Analysis 02'!I19">
      <xdr:nvSpPr>
        <xdr:cNvPr id="84" name="Text 61">
          <a:extLst>
            <a:ext uri="{FF2B5EF4-FFF2-40B4-BE49-F238E27FC236}">
              <a16:creationId xmlns:a16="http://schemas.microsoft.com/office/drawing/2014/main" id="{031E2604-F05B-FB3E-6A1E-3B2987C405C7}"/>
            </a:ext>
          </a:extLst>
        </xdr:cNvPr>
        <xdr:cNvSpPr/>
      </xdr:nvSpPr>
      <xdr:spPr>
        <a:xfrm>
          <a:off x="6282690" y="3112770"/>
          <a:ext cx="495300" cy="22860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None/>
          </a:pPr>
          <a:fld id="{8B8AC50B-9454-4F25-8D5D-4D9F65A9B82A}" type="TxLink">
            <a:rPr lang="en-US" sz="1100" kern="12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pPr marL="0" indent="0" algn="l" defTabSz="914400" rtl="0" eaLnBrk="1" latinLnBrk="0" hangingPunct="1">
              <a:buNone/>
            </a:pPr>
            <a:t>10.67%</a:t>
          </a:fld>
          <a:endParaRPr lang="en-US" sz="1100" kern="1200">
            <a:solidFill>
              <a:srgbClr val="888780"/>
            </a:solidFill>
            <a:latin typeface="Calibri" pitchFamily="34" charset="0"/>
            <a:ea typeface="Calibri" pitchFamily="34" charset="-122"/>
            <a:cs typeface="Calibri" pitchFamily="34" charset="-120"/>
          </a:endParaRPr>
        </a:p>
      </xdr:txBody>
    </xdr:sp>
    <xdr:clientData/>
  </xdr:twoCellAnchor>
  <xdr:twoCellAnchor>
    <xdr:from>
      <xdr:col>7</xdr:col>
      <xdr:colOff>405765</xdr:colOff>
      <xdr:row>14</xdr:row>
      <xdr:rowOff>133350</xdr:rowOff>
    </xdr:from>
    <xdr:to>
      <xdr:col>10</xdr:col>
      <xdr:colOff>78105</xdr:colOff>
      <xdr:row>16</xdr:row>
      <xdr:rowOff>26670</xdr:rowOff>
    </xdr:to>
    <xdr:sp macro="" textlink="'Analysis 02'!J17">
      <xdr:nvSpPr>
        <xdr:cNvPr id="85" name="Text 61">
          <a:extLst>
            <a:ext uri="{FF2B5EF4-FFF2-40B4-BE49-F238E27FC236}">
              <a16:creationId xmlns:a16="http://schemas.microsoft.com/office/drawing/2014/main" id="{DDCF3B94-1469-FB67-75D3-E16F2EA524CB}"/>
            </a:ext>
          </a:extLst>
        </xdr:cNvPr>
        <xdr:cNvSpPr/>
      </xdr:nvSpPr>
      <xdr:spPr>
        <a:xfrm>
          <a:off x="4672965" y="2693670"/>
          <a:ext cx="1501140" cy="25908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None/>
          </a:pPr>
          <a:fld id="{D655CB71-F174-4D8A-A0AA-A1089365699D}" type="TxLink">
            <a:rPr lang="en-US" sz="1400" b="0" i="0" u="none" strike="noStrike" kern="1200">
              <a:solidFill>
                <a:schemeClr val="accent3"/>
              </a:solidFill>
              <a:latin typeface="Aptos Narrow"/>
              <a:ea typeface="+mn-ea"/>
              <a:cs typeface="+mn-cs"/>
            </a:rPr>
            <a:pPr marL="0" indent="0" algn="l" defTabSz="914400" rtl="0" eaLnBrk="1" latinLnBrk="0" hangingPunct="1">
              <a:buNone/>
            </a:pPr>
            <a:t>⬤⬤○○○○○○○○</a:t>
          </a:fld>
          <a:endParaRPr lang="en-US" sz="1400" b="0" i="0" u="none" strike="noStrike" kern="1200">
            <a:solidFill>
              <a:schemeClr val="accent3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405765</xdr:colOff>
      <xdr:row>17</xdr:row>
      <xdr:rowOff>3810</xdr:rowOff>
    </xdr:from>
    <xdr:to>
      <xdr:col>10</xdr:col>
      <xdr:colOff>78105</xdr:colOff>
      <xdr:row>18</xdr:row>
      <xdr:rowOff>80010</xdr:rowOff>
    </xdr:to>
    <xdr:sp macro="" textlink="'Analysis 02'!J19">
      <xdr:nvSpPr>
        <xdr:cNvPr id="86" name="Text 61">
          <a:extLst>
            <a:ext uri="{FF2B5EF4-FFF2-40B4-BE49-F238E27FC236}">
              <a16:creationId xmlns:a16="http://schemas.microsoft.com/office/drawing/2014/main" id="{1F2ACCC8-748E-42A7-1E99-E5742573AB3D}"/>
            </a:ext>
          </a:extLst>
        </xdr:cNvPr>
        <xdr:cNvSpPr/>
      </xdr:nvSpPr>
      <xdr:spPr>
        <a:xfrm>
          <a:off x="4672965" y="3112770"/>
          <a:ext cx="1501140" cy="25908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None/>
          </a:pPr>
          <a:fld id="{577ADD15-1C9B-45BD-8ABE-9434FD2589FA}" type="TxLink">
            <a:rPr lang="en-US" sz="1400" b="0" i="0" u="none" strike="noStrike" kern="1200">
              <a:solidFill>
                <a:schemeClr val="accent3"/>
              </a:solidFill>
              <a:latin typeface="Aptos Narrow"/>
              <a:ea typeface="+mn-ea"/>
              <a:cs typeface="+mn-cs"/>
            </a:rPr>
            <a:pPr marL="0" indent="0" algn="l" defTabSz="914400" rtl="0" eaLnBrk="1" latinLnBrk="0" hangingPunct="1">
              <a:buNone/>
            </a:pPr>
            <a:t>⬤○○○○○○○○○</a:t>
          </a:fld>
          <a:endParaRPr lang="en-US" sz="1400" b="0" i="0" u="none" strike="noStrike" kern="1200">
            <a:solidFill>
              <a:schemeClr val="accent3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297180</xdr:colOff>
      <xdr:row>10</xdr:row>
      <xdr:rowOff>83820</xdr:rowOff>
    </xdr:from>
    <xdr:to>
      <xdr:col>8</xdr:col>
      <xdr:colOff>457200</xdr:colOff>
      <xdr:row>11</xdr:row>
      <xdr:rowOff>129540</xdr:rowOff>
    </xdr:to>
    <xdr:sp macro="" textlink="">
      <xdr:nvSpPr>
        <xdr:cNvPr id="88" name="Text 27">
          <a:extLst>
            <a:ext uri="{FF2B5EF4-FFF2-40B4-BE49-F238E27FC236}">
              <a16:creationId xmlns:a16="http://schemas.microsoft.com/office/drawing/2014/main" id="{E4E33679-E391-BFB6-FF6D-79486CD6E8B0}"/>
            </a:ext>
          </a:extLst>
        </xdr:cNvPr>
        <xdr:cNvSpPr/>
      </xdr:nvSpPr>
      <xdr:spPr>
        <a:xfrm>
          <a:off x="3954780" y="1912620"/>
          <a:ext cx="1379220" cy="22860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None/>
          </a:pPr>
          <a:r>
            <a:rPr lang="en-US" sz="1000" b="1" kern="0" spc="1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RIDERS BY GENDER</a:t>
          </a:r>
        </a:p>
      </xdr:txBody>
    </xdr:sp>
    <xdr:clientData/>
  </xdr:twoCellAnchor>
  <xdr:twoCellAnchor>
    <xdr:from>
      <xdr:col>6</xdr:col>
      <xdr:colOff>213360</xdr:colOff>
      <xdr:row>20</xdr:row>
      <xdr:rowOff>0</xdr:rowOff>
    </xdr:from>
    <xdr:to>
      <xdr:col>11</xdr:col>
      <xdr:colOff>434340</xdr:colOff>
      <xdr:row>29</xdr:row>
      <xdr:rowOff>152400</xdr:rowOff>
    </xdr:to>
    <xdr:sp macro="" textlink="">
      <xdr:nvSpPr>
        <xdr:cNvPr id="89" name="Shape 26">
          <a:extLst>
            <a:ext uri="{FF2B5EF4-FFF2-40B4-BE49-F238E27FC236}">
              <a16:creationId xmlns:a16="http://schemas.microsoft.com/office/drawing/2014/main" id="{ECA62C45-C9FF-A2D4-34DC-0615A6D195D0}"/>
            </a:ext>
          </a:extLst>
        </xdr:cNvPr>
        <xdr:cNvSpPr/>
      </xdr:nvSpPr>
      <xdr:spPr>
        <a:xfrm>
          <a:off x="3870960" y="3657600"/>
          <a:ext cx="3268980" cy="1798320"/>
        </a:xfrm>
        <a:prstGeom prst="rect">
          <a:avLst/>
        </a:prstGeom>
        <a:solidFill>
          <a:srgbClr val="FFFFFF"/>
        </a:solidFill>
        <a:ln w="6350">
          <a:solidFill>
            <a:srgbClr val="D3D1C7"/>
          </a:solidFill>
          <a:prstDash val="solid"/>
        </a:ln>
        <a:effectLst>
          <a:outerShdw blurRad="101600" dist="25400" dir="8100000" algn="bl" rotWithShape="0">
            <a:srgbClr val="000000">
              <a:alpha val="7000"/>
            </a:srgbClr>
          </a:outerShdw>
        </a:effectLst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259080</xdr:colOff>
          <xdr:row>21</xdr:row>
          <xdr:rowOff>83820</xdr:rowOff>
        </xdr:from>
        <xdr:to>
          <xdr:col>7</xdr:col>
          <xdr:colOff>198120</xdr:colOff>
          <xdr:row>22</xdr:row>
          <xdr:rowOff>129540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Top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121920</xdr:colOff>
          <xdr:row>21</xdr:row>
          <xdr:rowOff>83820</xdr:rowOff>
        </xdr:from>
        <xdr:to>
          <xdr:col>8</xdr:col>
          <xdr:colOff>114300</xdr:colOff>
          <xdr:row>22</xdr:row>
          <xdr:rowOff>114300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DA0B841C-274E-96E1-F3E2-D806570628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Bottom</a:t>
              </a:r>
            </a:p>
          </xdr:txBody>
        </xdr:sp>
        <xdr:clientData/>
      </xdr:twoCellAnchor>
    </mc:Choice>
    <mc:Fallback/>
  </mc:AlternateContent>
  <xdr:twoCellAnchor>
    <xdr:from>
      <xdr:col>6</xdr:col>
      <xdr:colOff>266700</xdr:colOff>
      <xdr:row>22</xdr:row>
      <xdr:rowOff>76200</xdr:rowOff>
    </xdr:from>
    <xdr:to>
      <xdr:col>11</xdr:col>
      <xdr:colOff>320040</xdr:colOff>
      <xdr:row>29</xdr:row>
      <xdr:rowOff>121920</xdr:rowOff>
    </xdr:to>
    <xdr:graphicFrame macro="">
      <xdr:nvGraphicFramePr>
        <xdr:cNvPr id="90" name="Chart 89">
          <a:extLst>
            <a:ext uri="{FF2B5EF4-FFF2-40B4-BE49-F238E27FC236}">
              <a16:creationId xmlns:a16="http://schemas.microsoft.com/office/drawing/2014/main" id="{D1757551-3FE3-47E9-9864-8BC76E1C7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358140</xdr:colOff>
      <xdr:row>20</xdr:row>
      <xdr:rowOff>83820</xdr:rowOff>
    </xdr:from>
    <xdr:to>
      <xdr:col>10</xdr:col>
      <xdr:colOff>495300</xdr:colOff>
      <xdr:row>21</xdr:row>
      <xdr:rowOff>91440</xdr:rowOff>
    </xdr:to>
    <xdr:sp macro="" textlink="'Analysis 02'!AC1">
      <xdr:nvSpPr>
        <xdr:cNvPr id="92" name="Text 70">
          <a:extLst>
            <a:ext uri="{FF2B5EF4-FFF2-40B4-BE49-F238E27FC236}">
              <a16:creationId xmlns:a16="http://schemas.microsoft.com/office/drawing/2014/main" id="{16F2EF04-9491-4695-9817-CAACA83F98E0}"/>
            </a:ext>
          </a:extLst>
        </xdr:cNvPr>
        <xdr:cNvSpPr/>
      </xdr:nvSpPr>
      <xdr:spPr>
        <a:xfrm>
          <a:off x="4015740" y="3741420"/>
          <a:ext cx="2575560" cy="19050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None/>
          </a:pPr>
          <a:fld id="{C0F94E59-4538-42E1-BCD0-0A01BEC69088}" type="TxLink">
            <a:rPr lang="en-US" sz="1000" b="1" kern="0" spc="1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pPr marL="0" indent="0" algn="l" defTabSz="914400" rtl="0" eaLnBrk="1" latinLnBrk="0" hangingPunct="1">
              <a:buNone/>
            </a:pPr>
            <a:t>Bottom 5 Under-Performing Buses</a:t>
          </a:fld>
          <a:endParaRPr lang="en-US" sz="1000" b="1" kern="0" spc="100">
            <a:solidFill>
              <a:srgbClr val="888780"/>
            </a:solidFill>
            <a:latin typeface="Calibri" pitchFamily="34" charset="0"/>
            <a:ea typeface="Calibri" pitchFamily="34" charset="-122"/>
            <a:cs typeface="Calibri" pitchFamily="34" charset="-120"/>
          </a:endParaRPr>
        </a:p>
      </xdr:txBody>
    </xdr:sp>
    <xdr:clientData/>
  </xdr:twoCellAnchor>
  <xdr:twoCellAnchor>
    <xdr:from>
      <xdr:col>12</xdr:col>
      <xdr:colOff>45720</xdr:colOff>
      <xdr:row>10</xdr:row>
      <xdr:rowOff>45720</xdr:rowOff>
    </xdr:from>
    <xdr:to>
      <xdr:col>17</xdr:col>
      <xdr:colOff>419100</xdr:colOff>
      <xdr:row>19</xdr:row>
      <xdr:rowOff>152400</xdr:rowOff>
    </xdr:to>
    <xdr:sp macro="" textlink="">
      <xdr:nvSpPr>
        <xdr:cNvPr id="94" name="Shape 26">
          <a:extLst>
            <a:ext uri="{FF2B5EF4-FFF2-40B4-BE49-F238E27FC236}">
              <a16:creationId xmlns:a16="http://schemas.microsoft.com/office/drawing/2014/main" id="{2E08F081-D8D9-7D7F-5A91-F93365A419EF}"/>
            </a:ext>
          </a:extLst>
        </xdr:cNvPr>
        <xdr:cNvSpPr/>
      </xdr:nvSpPr>
      <xdr:spPr>
        <a:xfrm>
          <a:off x="7360920" y="1874520"/>
          <a:ext cx="3421380" cy="1752600"/>
        </a:xfrm>
        <a:prstGeom prst="rect">
          <a:avLst/>
        </a:prstGeom>
        <a:solidFill>
          <a:srgbClr val="FFFFFF"/>
        </a:solidFill>
        <a:ln w="6350">
          <a:solidFill>
            <a:srgbClr val="D3D1C7"/>
          </a:solidFill>
          <a:prstDash val="solid"/>
        </a:ln>
        <a:effectLst>
          <a:outerShdw blurRad="101600" dist="25400" dir="8100000" algn="bl" rotWithShape="0">
            <a:srgbClr val="000000">
              <a:alpha val="7000"/>
            </a:srgbClr>
          </a:outerShdw>
        </a:effectLst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68580</xdr:colOff>
      <xdr:row>11</xdr:row>
      <xdr:rowOff>152400</xdr:rowOff>
    </xdr:from>
    <xdr:to>
      <xdr:col>17</xdr:col>
      <xdr:colOff>76200</xdr:colOff>
      <xdr:row>19</xdr:row>
      <xdr:rowOff>114300</xdr:rowOff>
    </xdr:to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BEBDCA8B-85A2-4104-9786-C850F51EAE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190500</xdr:colOff>
      <xdr:row>10</xdr:row>
      <xdr:rowOff>152400</xdr:rowOff>
    </xdr:from>
    <xdr:to>
      <xdr:col>15</xdr:col>
      <xdr:colOff>121920</xdr:colOff>
      <xdr:row>12</xdr:row>
      <xdr:rowOff>0</xdr:rowOff>
    </xdr:to>
    <xdr:sp macro="" textlink="">
      <xdr:nvSpPr>
        <xdr:cNvPr id="95" name="Text 37">
          <a:extLst>
            <a:ext uri="{FF2B5EF4-FFF2-40B4-BE49-F238E27FC236}">
              <a16:creationId xmlns:a16="http://schemas.microsoft.com/office/drawing/2014/main" id="{84A68D29-F492-2C62-57DA-5B321058DBB5}"/>
            </a:ext>
          </a:extLst>
        </xdr:cNvPr>
        <xdr:cNvSpPr/>
      </xdr:nvSpPr>
      <xdr:spPr>
        <a:xfrm>
          <a:off x="7505700" y="1981200"/>
          <a:ext cx="1760220" cy="21336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None/>
          </a:pPr>
          <a:r>
            <a:rPr lang="en-US" sz="1000" b="1" kern="0" spc="1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RIDERS BY OCCUPATION</a:t>
          </a:r>
        </a:p>
      </xdr:txBody>
    </xdr:sp>
    <xdr:clientData/>
  </xdr:twoCellAnchor>
  <xdr:twoCellAnchor>
    <xdr:from>
      <xdr:col>16</xdr:col>
      <xdr:colOff>605790</xdr:colOff>
      <xdr:row>17</xdr:row>
      <xdr:rowOff>133350</xdr:rowOff>
    </xdr:from>
    <xdr:to>
      <xdr:col>17</xdr:col>
      <xdr:colOff>426720</xdr:colOff>
      <xdr:row>18</xdr:row>
      <xdr:rowOff>167640</xdr:rowOff>
    </xdr:to>
    <xdr:sp macro="" textlink="'Analysis 02'!AJ24">
      <xdr:nvSpPr>
        <xdr:cNvPr id="96" name="Text 61">
          <a:extLst>
            <a:ext uri="{FF2B5EF4-FFF2-40B4-BE49-F238E27FC236}">
              <a16:creationId xmlns:a16="http://schemas.microsoft.com/office/drawing/2014/main" id="{569147E4-6AD3-4E66-A508-90E1005C3CE6}"/>
            </a:ext>
          </a:extLst>
        </xdr:cNvPr>
        <xdr:cNvSpPr/>
      </xdr:nvSpPr>
      <xdr:spPr>
        <a:xfrm>
          <a:off x="10359390" y="3242310"/>
          <a:ext cx="430530" cy="21717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None/>
          </a:pPr>
          <a:fld id="{0516D09B-06A5-4F62-96F9-E92CF8612199}" type="TxLink">
            <a:rPr lang="en-US" sz="1100" kern="12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pPr marL="0" indent="0" algn="l" defTabSz="914400" rtl="0" eaLnBrk="1" latinLnBrk="0" hangingPunct="1">
              <a:buNone/>
            </a:pPr>
            <a:t>1011</a:t>
          </a:fld>
          <a:endParaRPr lang="en-US" sz="1100" kern="1200">
            <a:solidFill>
              <a:srgbClr val="888780"/>
            </a:solidFill>
            <a:latin typeface="Calibri" pitchFamily="34" charset="0"/>
            <a:ea typeface="Calibri" pitchFamily="34" charset="-122"/>
            <a:cs typeface="Calibri" pitchFamily="34" charset="-120"/>
          </a:endParaRPr>
        </a:p>
      </xdr:txBody>
    </xdr:sp>
    <xdr:clientData/>
  </xdr:twoCellAnchor>
  <xdr:twoCellAnchor>
    <xdr:from>
      <xdr:col>16</xdr:col>
      <xdr:colOff>605790</xdr:colOff>
      <xdr:row>13</xdr:row>
      <xdr:rowOff>64770</xdr:rowOff>
    </xdr:from>
    <xdr:to>
      <xdr:col>17</xdr:col>
      <xdr:colOff>335280</xdr:colOff>
      <xdr:row>14</xdr:row>
      <xdr:rowOff>91440</xdr:rowOff>
    </xdr:to>
    <xdr:sp macro="" textlink="'Analysis 02'!AJ20">
      <xdr:nvSpPr>
        <xdr:cNvPr id="97" name="Text 61">
          <a:extLst>
            <a:ext uri="{FF2B5EF4-FFF2-40B4-BE49-F238E27FC236}">
              <a16:creationId xmlns:a16="http://schemas.microsoft.com/office/drawing/2014/main" id="{09E11B9E-7C91-60E9-CAF0-2A232FD68EC5}"/>
            </a:ext>
          </a:extLst>
        </xdr:cNvPr>
        <xdr:cNvSpPr/>
      </xdr:nvSpPr>
      <xdr:spPr>
        <a:xfrm>
          <a:off x="10359390" y="2442210"/>
          <a:ext cx="339090" cy="20955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None/>
          </a:pPr>
          <a:fld id="{384D8276-43FF-4065-A871-E84FFA925A46}" type="TxLink">
            <a:rPr lang="en-US" sz="1100" kern="12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pPr marL="0" indent="0" algn="l" defTabSz="914400" rtl="0" eaLnBrk="1" latinLnBrk="0" hangingPunct="1">
              <a:buNone/>
            </a:pPr>
            <a:t>1554</a:t>
          </a:fld>
          <a:endParaRPr lang="en-US" sz="1100" kern="1200">
            <a:solidFill>
              <a:srgbClr val="888780"/>
            </a:solidFill>
            <a:latin typeface="Calibri" pitchFamily="34" charset="0"/>
            <a:ea typeface="Calibri" pitchFamily="34" charset="-122"/>
            <a:cs typeface="Calibri" pitchFamily="34" charset="-120"/>
          </a:endParaRPr>
        </a:p>
      </xdr:txBody>
    </xdr:sp>
    <xdr:clientData/>
  </xdr:twoCellAnchor>
  <xdr:twoCellAnchor>
    <xdr:from>
      <xdr:col>16</xdr:col>
      <xdr:colOff>605790</xdr:colOff>
      <xdr:row>15</xdr:row>
      <xdr:rowOff>80010</xdr:rowOff>
    </xdr:from>
    <xdr:to>
      <xdr:col>17</xdr:col>
      <xdr:colOff>373380</xdr:colOff>
      <xdr:row>16</xdr:row>
      <xdr:rowOff>114300</xdr:rowOff>
    </xdr:to>
    <xdr:sp macro="" textlink="'Analysis 02'!AJ22">
      <xdr:nvSpPr>
        <xdr:cNvPr id="98" name="Text 61">
          <a:extLst>
            <a:ext uri="{FF2B5EF4-FFF2-40B4-BE49-F238E27FC236}">
              <a16:creationId xmlns:a16="http://schemas.microsoft.com/office/drawing/2014/main" id="{9231F8C2-CF5B-CDAE-D573-DDDB67328D52}"/>
            </a:ext>
          </a:extLst>
        </xdr:cNvPr>
        <xdr:cNvSpPr/>
      </xdr:nvSpPr>
      <xdr:spPr>
        <a:xfrm>
          <a:off x="10359390" y="2823210"/>
          <a:ext cx="377190" cy="21717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None/>
          </a:pPr>
          <a:fld id="{AF0EEFE4-8B9E-44D7-9976-B0D24A5FCA96}" type="TxLink">
            <a:rPr lang="en-US" sz="1100" kern="12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pPr marL="0" indent="0" algn="l" defTabSz="914400" rtl="0" eaLnBrk="1" latinLnBrk="0" hangingPunct="1">
              <a:buNone/>
            </a:pPr>
            <a:t>1321</a:t>
          </a:fld>
          <a:endParaRPr lang="en-US" sz="1100" kern="1200">
            <a:solidFill>
              <a:srgbClr val="888780"/>
            </a:solidFill>
            <a:latin typeface="Calibri" pitchFamily="34" charset="0"/>
            <a:ea typeface="Calibri" pitchFamily="34" charset="-122"/>
            <a:cs typeface="Calibri" pitchFamily="34" charset="-120"/>
          </a:endParaRPr>
        </a:p>
      </xdr:txBody>
    </xdr:sp>
    <xdr:clientData/>
  </xdr:twoCellAnchor>
  <xdr:twoCellAnchor>
    <xdr:from>
      <xdr:col>16</xdr:col>
      <xdr:colOff>605790</xdr:colOff>
      <xdr:row>14</xdr:row>
      <xdr:rowOff>80010</xdr:rowOff>
    </xdr:from>
    <xdr:to>
      <xdr:col>17</xdr:col>
      <xdr:colOff>312420</xdr:colOff>
      <xdr:row>15</xdr:row>
      <xdr:rowOff>106680</xdr:rowOff>
    </xdr:to>
    <xdr:sp macro="" textlink="'Analysis 02'!AJ21">
      <xdr:nvSpPr>
        <xdr:cNvPr id="99" name="Text 61">
          <a:extLst>
            <a:ext uri="{FF2B5EF4-FFF2-40B4-BE49-F238E27FC236}">
              <a16:creationId xmlns:a16="http://schemas.microsoft.com/office/drawing/2014/main" id="{4E18FA23-5E19-6C76-D4F8-067A211CB93E}"/>
            </a:ext>
          </a:extLst>
        </xdr:cNvPr>
        <xdr:cNvSpPr/>
      </xdr:nvSpPr>
      <xdr:spPr>
        <a:xfrm>
          <a:off x="10359390" y="2640330"/>
          <a:ext cx="316230" cy="20955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None/>
          </a:pPr>
          <a:fld id="{D1C68671-C3BD-4DA1-BF4A-402521B49D57}" type="TxLink">
            <a:rPr lang="en-US" sz="1100" kern="12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pPr marL="0" indent="0" algn="l" defTabSz="914400" rtl="0" eaLnBrk="1" latinLnBrk="0" hangingPunct="1">
              <a:buNone/>
            </a:pPr>
            <a:t>589</a:t>
          </a:fld>
          <a:endParaRPr lang="en-US" sz="1100" kern="1200">
            <a:solidFill>
              <a:srgbClr val="888780"/>
            </a:solidFill>
            <a:latin typeface="Calibri" pitchFamily="34" charset="0"/>
            <a:ea typeface="Calibri" pitchFamily="34" charset="-122"/>
            <a:cs typeface="Calibri" pitchFamily="34" charset="-120"/>
          </a:endParaRPr>
        </a:p>
      </xdr:txBody>
    </xdr:sp>
    <xdr:clientData/>
  </xdr:twoCellAnchor>
  <xdr:twoCellAnchor>
    <xdr:from>
      <xdr:col>16</xdr:col>
      <xdr:colOff>605790</xdr:colOff>
      <xdr:row>12</xdr:row>
      <xdr:rowOff>72390</xdr:rowOff>
    </xdr:from>
    <xdr:to>
      <xdr:col>17</xdr:col>
      <xdr:colOff>358140</xdr:colOff>
      <xdr:row>13</xdr:row>
      <xdr:rowOff>76200</xdr:rowOff>
    </xdr:to>
    <xdr:sp macro="" textlink="'Analysis 02'!AJ19">
      <xdr:nvSpPr>
        <xdr:cNvPr id="100" name="Text 61">
          <a:extLst>
            <a:ext uri="{FF2B5EF4-FFF2-40B4-BE49-F238E27FC236}">
              <a16:creationId xmlns:a16="http://schemas.microsoft.com/office/drawing/2014/main" id="{1139D87B-A7AA-4A97-8084-E3714D163446}"/>
            </a:ext>
          </a:extLst>
        </xdr:cNvPr>
        <xdr:cNvSpPr/>
      </xdr:nvSpPr>
      <xdr:spPr>
        <a:xfrm>
          <a:off x="10359390" y="2266950"/>
          <a:ext cx="361950" cy="18669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None/>
          </a:pPr>
          <a:fld id="{98770B6B-33E3-41CC-BEA2-7760F076BAB8}" type="TxLink">
            <a:rPr lang="en-US" sz="1100" kern="12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pPr marL="0" indent="0" algn="l" defTabSz="914400" rtl="0" eaLnBrk="1" latinLnBrk="0" hangingPunct="1">
              <a:buNone/>
            </a:pPr>
            <a:t>1633</a:t>
          </a:fld>
          <a:endParaRPr lang="en-US" sz="1100" kern="1200">
            <a:solidFill>
              <a:srgbClr val="888780"/>
            </a:solidFill>
            <a:latin typeface="Calibri" pitchFamily="34" charset="0"/>
            <a:ea typeface="Calibri" pitchFamily="34" charset="-122"/>
            <a:cs typeface="Calibri" pitchFamily="34" charset="-120"/>
          </a:endParaRPr>
        </a:p>
      </xdr:txBody>
    </xdr:sp>
    <xdr:clientData/>
  </xdr:twoCellAnchor>
  <xdr:twoCellAnchor>
    <xdr:from>
      <xdr:col>16</xdr:col>
      <xdr:colOff>605790</xdr:colOff>
      <xdr:row>16</xdr:row>
      <xdr:rowOff>110490</xdr:rowOff>
    </xdr:from>
    <xdr:to>
      <xdr:col>17</xdr:col>
      <xdr:colOff>320040</xdr:colOff>
      <xdr:row>17</xdr:row>
      <xdr:rowOff>152400</xdr:rowOff>
    </xdr:to>
    <xdr:sp macro="" textlink="'Analysis 02'!AJ23">
      <xdr:nvSpPr>
        <xdr:cNvPr id="101" name="Text 61">
          <a:extLst>
            <a:ext uri="{FF2B5EF4-FFF2-40B4-BE49-F238E27FC236}">
              <a16:creationId xmlns:a16="http://schemas.microsoft.com/office/drawing/2014/main" id="{383CE1D8-61FA-4630-ADF1-BD22AF4C165A}"/>
            </a:ext>
          </a:extLst>
        </xdr:cNvPr>
        <xdr:cNvSpPr/>
      </xdr:nvSpPr>
      <xdr:spPr>
        <a:xfrm>
          <a:off x="10359390" y="3036570"/>
          <a:ext cx="323850" cy="22479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None/>
          </a:pPr>
          <a:fld id="{EFCBA0C2-7743-4DBD-9773-D55F1D4B31CF}" type="TxLink">
            <a:rPr lang="en-US" sz="1100" kern="12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pPr marL="0" indent="0" algn="l" defTabSz="914400" rtl="0" eaLnBrk="1" latinLnBrk="0" hangingPunct="1">
              <a:buNone/>
            </a:pPr>
            <a:t>479</a:t>
          </a:fld>
          <a:endParaRPr lang="en-US" sz="1100" kern="1200">
            <a:solidFill>
              <a:srgbClr val="888780"/>
            </a:solidFill>
            <a:latin typeface="Calibri" pitchFamily="34" charset="0"/>
            <a:ea typeface="Calibri" pitchFamily="34" charset="-122"/>
            <a:cs typeface="Calibri" pitchFamily="34" charset="-120"/>
          </a:endParaRPr>
        </a:p>
      </xdr:txBody>
    </xdr:sp>
    <xdr:clientData/>
  </xdr:twoCellAnchor>
  <xdr:twoCellAnchor>
    <xdr:from>
      <xdr:col>12</xdr:col>
      <xdr:colOff>45720</xdr:colOff>
      <xdr:row>20</xdr:row>
      <xdr:rowOff>30480</xdr:rowOff>
    </xdr:from>
    <xdr:to>
      <xdr:col>17</xdr:col>
      <xdr:colOff>419100</xdr:colOff>
      <xdr:row>29</xdr:row>
      <xdr:rowOff>137160</xdr:rowOff>
    </xdr:to>
    <xdr:sp macro="" textlink="">
      <xdr:nvSpPr>
        <xdr:cNvPr id="103" name="Shape 26">
          <a:extLst>
            <a:ext uri="{FF2B5EF4-FFF2-40B4-BE49-F238E27FC236}">
              <a16:creationId xmlns:a16="http://schemas.microsoft.com/office/drawing/2014/main" id="{8F4A1F65-F92E-4506-BECF-8E4FC147F58D}"/>
            </a:ext>
          </a:extLst>
        </xdr:cNvPr>
        <xdr:cNvSpPr/>
      </xdr:nvSpPr>
      <xdr:spPr>
        <a:xfrm>
          <a:off x="7360920" y="3688080"/>
          <a:ext cx="3421380" cy="1752600"/>
        </a:xfrm>
        <a:prstGeom prst="rect">
          <a:avLst/>
        </a:prstGeom>
        <a:solidFill>
          <a:srgbClr val="FFFFFF"/>
        </a:solidFill>
        <a:ln w="6350">
          <a:solidFill>
            <a:srgbClr val="D3D1C7"/>
          </a:solidFill>
          <a:prstDash val="solid"/>
        </a:ln>
        <a:effectLst>
          <a:outerShdw blurRad="101600" dist="25400" dir="8100000" algn="bl" rotWithShape="0">
            <a:srgbClr val="000000">
              <a:alpha val="7000"/>
            </a:srgbClr>
          </a:outerShdw>
        </a:effectLst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76200</xdr:colOff>
      <xdr:row>22</xdr:row>
      <xdr:rowOff>60960</xdr:rowOff>
    </xdr:from>
    <xdr:to>
      <xdr:col>17</xdr:col>
      <xdr:colOff>381000</xdr:colOff>
      <xdr:row>29</xdr:row>
      <xdr:rowOff>152400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02" name="Chart 101">
              <a:extLst>
                <a:ext uri="{FF2B5EF4-FFF2-40B4-BE49-F238E27FC236}">
                  <a16:creationId xmlns:a16="http://schemas.microsoft.com/office/drawing/2014/main" id="{8903B23C-D437-4740-A8C8-3AE2567EC7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91400" y="4084320"/>
              <a:ext cx="335280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182880</xdr:colOff>
      <xdr:row>20</xdr:row>
      <xdr:rowOff>91440</xdr:rowOff>
    </xdr:from>
    <xdr:to>
      <xdr:col>15</xdr:col>
      <xdr:colOff>114300</xdr:colOff>
      <xdr:row>21</xdr:row>
      <xdr:rowOff>121920</xdr:rowOff>
    </xdr:to>
    <xdr:sp macro="" textlink="">
      <xdr:nvSpPr>
        <xdr:cNvPr id="104" name="Text 37">
          <a:extLst>
            <a:ext uri="{FF2B5EF4-FFF2-40B4-BE49-F238E27FC236}">
              <a16:creationId xmlns:a16="http://schemas.microsoft.com/office/drawing/2014/main" id="{A5865590-24E1-4005-9E30-25BF1D86E382}"/>
            </a:ext>
          </a:extLst>
        </xdr:cNvPr>
        <xdr:cNvSpPr/>
      </xdr:nvSpPr>
      <xdr:spPr>
        <a:xfrm>
          <a:off x="7498080" y="3749040"/>
          <a:ext cx="1760220" cy="21336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None/>
          </a:pPr>
          <a:r>
            <a:rPr lang="en-US" sz="1000" b="1" kern="0" spc="1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Total Riders By Age Group</a:t>
          </a:r>
        </a:p>
      </xdr:txBody>
    </xdr:sp>
    <xdr:clientData/>
  </xdr:twoCellAnchor>
  <xdr:twoCellAnchor>
    <xdr:from>
      <xdr:col>17</xdr:col>
      <xdr:colOff>541020</xdr:colOff>
      <xdr:row>10</xdr:row>
      <xdr:rowOff>45720</xdr:rowOff>
    </xdr:from>
    <xdr:to>
      <xdr:col>23</xdr:col>
      <xdr:colOff>281940</xdr:colOff>
      <xdr:row>19</xdr:row>
      <xdr:rowOff>152400</xdr:rowOff>
    </xdr:to>
    <xdr:sp macro="" textlink="">
      <xdr:nvSpPr>
        <xdr:cNvPr id="106" name="Shape 26">
          <a:extLst>
            <a:ext uri="{FF2B5EF4-FFF2-40B4-BE49-F238E27FC236}">
              <a16:creationId xmlns:a16="http://schemas.microsoft.com/office/drawing/2014/main" id="{BBCF0E00-59AE-472E-193C-7F8DAD53EC06}"/>
            </a:ext>
          </a:extLst>
        </xdr:cNvPr>
        <xdr:cNvSpPr/>
      </xdr:nvSpPr>
      <xdr:spPr>
        <a:xfrm>
          <a:off x="10904220" y="1874520"/>
          <a:ext cx="3398520" cy="1752600"/>
        </a:xfrm>
        <a:prstGeom prst="rect">
          <a:avLst/>
        </a:prstGeom>
        <a:solidFill>
          <a:srgbClr val="FFFFFF"/>
        </a:solidFill>
        <a:ln w="6350">
          <a:solidFill>
            <a:srgbClr val="D3D1C7"/>
          </a:solidFill>
          <a:prstDash val="solid"/>
        </a:ln>
        <a:effectLst>
          <a:outerShdw blurRad="101600" dist="25400" dir="8100000" algn="bl" rotWithShape="0">
            <a:srgbClr val="000000">
              <a:alpha val="7000"/>
            </a:srgbClr>
          </a:outerShdw>
        </a:effectLst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106680</xdr:colOff>
      <xdr:row>12</xdr:row>
      <xdr:rowOff>137160</xdr:rowOff>
    </xdr:from>
    <xdr:to>
      <xdr:col>19</xdr:col>
      <xdr:colOff>190500</xdr:colOff>
      <xdr:row>13</xdr:row>
      <xdr:rowOff>117348</xdr:rowOff>
    </xdr:to>
    <xdr:sp macro="" textlink="">
      <xdr:nvSpPr>
        <xdr:cNvPr id="107" name="Text 64">
          <a:extLst>
            <a:ext uri="{FF2B5EF4-FFF2-40B4-BE49-F238E27FC236}">
              <a16:creationId xmlns:a16="http://schemas.microsoft.com/office/drawing/2014/main" id="{55D25FCB-95D8-4C05-A6C0-C2A1096291CF}"/>
            </a:ext>
          </a:extLst>
        </xdr:cNvPr>
        <xdr:cNvSpPr/>
      </xdr:nvSpPr>
      <xdr:spPr>
        <a:xfrm>
          <a:off x="11079480" y="2331720"/>
          <a:ext cx="693420" cy="163068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5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Other</a:t>
          </a:r>
          <a:endParaRPr lang="en-US" sz="1050"/>
        </a:p>
      </xdr:txBody>
    </xdr:sp>
    <xdr:clientData/>
  </xdr:twoCellAnchor>
  <xdr:twoCellAnchor>
    <xdr:from>
      <xdr:col>22</xdr:col>
      <xdr:colOff>76200</xdr:colOff>
      <xdr:row>12</xdr:row>
      <xdr:rowOff>144780</xdr:rowOff>
    </xdr:from>
    <xdr:to>
      <xdr:col>23</xdr:col>
      <xdr:colOff>80772</xdr:colOff>
      <xdr:row>13</xdr:row>
      <xdr:rowOff>121920</xdr:rowOff>
    </xdr:to>
    <xdr:sp macro="" textlink="'Analysis 02'!AV15">
      <xdr:nvSpPr>
        <xdr:cNvPr id="108" name="Text 65">
          <a:extLst>
            <a:ext uri="{FF2B5EF4-FFF2-40B4-BE49-F238E27FC236}">
              <a16:creationId xmlns:a16="http://schemas.microsoft.com/office/drawing/2014/main" id="{6308D343-8390-CF1C-548F-CC0CD44D6009}"/>
            </a:ext>
          </a:extLst>
        </xdr:cNvPr>
        <xdr:cNvSpPr/>
      </xdr:nvSpPr>
      <xdr:spPr>
        <a:xfrm>
          <a:off x="13487400" y="2339340"/>
          <a:ext cx="614172" cy="16002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>
            <a:buNone/>
          </a:pPr>
          <a:fld id="{16992BD4-4A6C-434D-9173-1514F86EA625}" type="TxLink">
            <a:rPr lang="en-US" sz="1050" b="1" i="0" u="none" strike="noStrike">
              <a:solidFill>
                <a:sysClr val="windowText" lastClr="000000"/>
              </a:solidFill>
              <a:latin typeface="Aptos Narrow"/>
              <a:ea typeface="Calibri" pitchFamily="34" charset="-122"/>
              <a:cs typeface="Calibri" pitchFamily="34" charset="-120"/>
            </a:rPr>
            <a:t>9:40 PM</a:t>
          </a:fld>
          <a:endParaRPr 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106680</xdr:colOff>
      <xdr:row>13</xdr:row>
      <xdr:rowOff>135636</xdr:rowOff>
    </xdr:from>
    <xdr:to>
      <xdr:col>19</xdr:col>
      <xdr:colOff>312420</xdr:colOff>
      <xdr:row>14</xdr:row>
      <xdr:rowOff>106680</xdr:rowOff>
    </xdr:to>
    <xdr:sp macro="" textlink="">
      <xdr:nvSpPr>
        <xdr:cNvPr id="110" name="Text 67">
          <a:extLst>
            <a:ext uri="{FF2B5EF4-FFF2-40B4-BE49-F238E27FC236}">
              <a16:creationId xmlns:a16="http://schemas.microsoft.com/office/drawing/2014/main" id="{766A699B-D3EA-3AE1-926B-A0CB22294009}"/>
            </a:ext>
          </a:extLst>
        </xdr:cNvPr>
        <xdr:cNvSpPr/>
      </xdr:nvSpPr>
      <xdr:spPr>
        <a:xfrm>
          <a:off x="11079480" y="2513076"/>
          <a:ext cx="815340" cy="153924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5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Professional</a:t>
          </a:r>
          <a:endParaRPr lang="en-US" sz="1050"/>
        </a:p>
      </xdr:txBody>
    </xdr:sp>
    <xdr:clientData/>
  </xdr:twoCellAnchor>
  <xdr:twoCellAnchor>
    <xdr:from>
      <xdr:col>18</xdr:col>
      <xdr:colOff>76200</xdr:colOff>
      <xdr:row>13</xdr:row>
      <xdr:rowOff>129540</xdr:rowOff>
    </xdr:from>
    <xdr:to>
      <xdr:col>23</xdr:col>
      <xdr:colOff>106680</xdr:colOff>
      <xdr:row>13</xdr:row>
      <xdr:rowOff>140208</xdr:rowOff>
    </xdr:to>
    <xdr:sp macro="" textlink="">
      <xdr:nvSpPr>
        <xdr:cNvPr id="109" name="Shape 66">
          <a:extLst>
            <a:ext uri="{FF2B5EF4-FFF2-40B4-BE49-F238E27FC236}">
              <a16:creationId xmlns:a16="http://schemas.microsoft.com/office/drawing/2014/main" id="{1B4F0B73-548A-389B-391E-935DF28FF9CE}"/>
            </a:ext>
          </a:extLst>
        </xdr:cNvPr>
        <xdr:cNvSpPr/>
      </xdr:nvSpPr>
      <xdr:spPr>
        <a:xfrm flipV="1">
          <a:off x="11049000" y="2506980"/>
          <a:ext cx="3078480" cy="10668"/>
        </a:xfrm>
        <a:prstGeom prst="line">
          <a:avLst/>
        </a:prstGeom>
        <a:noFill/>
        <a:ln w="12700">
          <a:solidFill>
            <a:srgbClr val="D3D1C7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2800"/>
        </a:p>
      </xdr:txBody>
    </xdr:sp>
    <xdr:clientData/>
  </xdr:twoCellAnchor>
  <xdr:twoCellAnchor>
    <xdr:from>
      <xdr:col>22</xdr:col>
      <xdr:colOff>76200</xdr:colOff>
      <xdr:row>13</xdr:row>
      <xdr:rowOff>135636</xdr:rowOff>
    </xdr:from>
    <xdr:to>
      <xdr:col>23</xdr:col>
      <xdr:colOff>80772</xdr:colOff>
      <xdr:row>14</xdr:row>
      <xdr:rowOff>106680</xdr:rowOff>
    </xdr:to>
    <xdr:sp macro="" textlink="'Analysis 02'!AV16">
      <xdr:nvSpPr>
        <xdr:cNvPr id="111" name="Text 68">
          <a:extLst>
            <a:ext uri="{FF2B5EF4-FFF2-40B4-BE49-F238E27FC236}">
              <a16:creationId xmlns:a16="http://schemas.microsoft.com/office/drawing/2014/main" id="{035E63CC-8F2A-DB99-4AE0-DA54ACF82D2D}"/>
            </a:ext>
          </a:extLst>
        </xdr:cNvPr>
        <xdr:cNvSpPr/>
      </xdr:nvSpPr>
      <xdr:spPr>
        <a:xfrm>
          <a:off x="13487400" y="2513076"/>
          <a:ext cx="614172" cy="153924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>
            <a:buNone/>
          </a:pPr>
          <a:fld id="{B8EED2D1-8FC1-4A04-B76F-DEB7ADB73E43}" type="TxLink">
            <a:rPr lang="en-US" sz="1050" b="1" i="0" u="none" strike="noStrike">
              <a:solidFill>
                <a:srgbClr val="1D9E75"/>
              </a:solidFill>
              <a:latin typeface="Aptos Narrow"/>
              <a:ea typeface="Calibri" pitchFamily="34" charset="-122"/>
              <a:cs typeface="Calibri" pitchFamily="34" charset="-120"/>
            </a:rPr>
            <a:t>7:53 AM</a:t>
          </a:fld>
          <a:endParaRPr lang="en-US" sz="1000" b="1">
            <a:solidFill>
              <a:srgbClr val="1D9E75"/>
            </a:solidFill>
          </a:endParaRPr>
        </a:p>
      </xdr:txBody>
    </xdr:sp>
    <xdr:clientData/>
  </xdr:twoCellAnchor>
  <xdr:twoCellAnchor>
    <xdr:from>
      <xdr:col>18</xdr:col>
      <xdr:colOff>106680</xdr:colOff>
      <xdr:row>14</xdr:row>
      <xdr:rowOff>129540</xdr:rowOff>
    </xdr:from>
    <xdr:to>
      <xdr:col>19</xdr:col>
      <xdr:colOff>167640</xdr:colOff>
      <xdr:row>15</xdr:row>
      <xdr:rowOff>68580</xdr:rowOff>
    </xdr:to>
    <xdr:sp macro="" textlink="">
      <xdr:nvSpPr>
        <xdr:cNvPr id="113" name="Text 70">
          <a:extLst>
            <a:ext uri="{FF2B5EF4-FFF2-40B4-BE49-F238E27FC236}">
              <a16:creationId xmlns:a16="http://schemas.microsoft.com/office/drawing/2014/main" id="{1CE3B689-B717-AB46-74C2-37E3189CAECC}"/>
            </a:ext>
          </a:extLst>
        </xdr:cNvPr>
        <xdr:cNvSpPr/>
      </xdr:nvSpPr>
      <xdr:spPr>
        <a:xfrm>
          <a:off x="11079480" y="2689860"/>
          <a:ext cx="670560" cy="12192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5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Retired</a:t>
          </a:r>
          <a:endParaRPr lang="en-US" sz="1050"/>
        </a:p>
      </xdr:txBody>
    </xdr:sp>
    <xdr:clientData/>
  </xdr:twoCellAnchor>
  <xdr:twoCellAnchor>
    <xdr:from>
      <xdr:col>22</xdr:col>
      <xdr:colOff>76200</xdr:colOff>
      <xdr:row>14</xdr:row>
      <xdr:rowOff>126492</xdr:rowOff>
    </xdr:from>
    <xdr:to>
      <xdr:col>23</xdr:col>
      <xdr:colOff>80772</xdr:colOff>
      <xdr:row>15</xdr:row>
      <xdr:rowOff>91440</xdr:rowOff>
    </xdr:to>
    <xdr:sp macro="" textlink="'Analysis 02'!AV17">
      <xdr:nvSpPr>
        <xdr:cNvPr id="114" name="Text 71">
          <a:extLst>
            <a:ext uri="{FF2B5EF4-FFF2-40B4-BE49-F238E27FC236}">
              <a16:creationId xmlns:a16="http://schemas.microsoft.com/office/drawing/2014/main" id="{AB6DEB79-C5D6-C44D-8C23-BCC4A2C58862}"/>
            </a:ext>
          </a:extLst>
        </xdr:cNvPr>
        <xdr:cNvSpPr/>
      </xdr:nvSpPr>
      <xdr:spPr>
        <a:xfrm>
          <a:off x="13487400" y="2686812"/>
          <a:ext cx="614172" cy="147828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>
            <a:buNone/>
          </a:pPr>
          <a:fld id="{4952674A-592E-4DDB-86F3-327D73EFDC23}" type="TxLink">
            <a:rPr lang="en-US" sz="1050" b="1" i="0" u="none" strike="noStrike">
              <a:solidFill>
                <a:schemeClr val="tx1"/>
              </a:solidFill>
              <a:latin typeface="Aptos Narrow"/>
              <a:ea typeface="Calibri" pitchFamily="34" charset="-122"/>
              <a:cs typeface="Calibri" pitchFamily="34" charset="-120"/>
            </a:rPr>
            <a:t>8:50 AM</a:t>
          </a:fld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106680</xdr:colOff>
      <xdr:row>15</xdr:row>
      <xdr:rowOff>117348</xdr:rowOff>
    </xdr:from>
    <xdr:to>
      <xdr:col>19</xdr:col>
      <xdr:colOff>342900</xdr:colOff>
      <xdr:row>16</xdr:row>
      <xdr:rowOff>83820</xdr:rowOff>
    </xdr:to>
    <xdr:sp macro="" textlink="">
      <xdr:nvSpPr>
        <xdr:cNvPr id="116" name="Text 73">
          <a:extLst>
            <a:ext uri="{FF2B5EF4-FFF2-40B4-BE49-F238E27FC236}">
              <a16:creationId xmlns:a16="http://schemas.microsoft.com/office/drawing/2014/main" id="{392FC2BC-743E-9212-9615-9A0F62DA3DF6}"/>
            </a:ext>
          </a:extLst>
        </xdr:cNvPr>
        <xdr:cNvSpPr/>
      </xdr:nvSpPr>
      <xdr:spPr>
        <a:xfrm>
          <a:off x="11079480" y="2860548"/>
          <a:ext cx="845820" cy="149352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5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Self-employed</a:t>
          </a:r>
          <a:endParaRPr lang="en-US" sz="1050"/>
        </a:p>
      </xdr:txBody>
    </xdr:sp>
    <xdr:clientData/>
  </xdr:twoCellAnchor>
  <xdr:twoCellAnchor>
    <xdr:from>
      <xdr:col>21</xdr:col>
      <xdr:colOff>571500</xdr:colOff>
      <xdr:row>15</xdr:row>
      <xdr:rowOff>117348</xdr:rowOff>
    </xdr:from>
    <xdr:to>
      <xdr:col>23</xdr:col>
      <xdr:colOff>80772</xdr:colOff>
      <xdr:row>16</xdr:row>
      <xdr:rowOff>76200</xdr:rowOff>
    </xdr:to>
    <xdr:sp macro="" textlink="'Analysis 02'!AV18">
      <xdr:nvSpPr>
        <xdr:cNvPr id="117" name="Text 74">
          <a:extLst>
            <a:ext uri="{FF2B5EF4-FFF2-40B4-BE49-F238E27FC236}">
              <a16:creationId xmlns:a16="http://schemas.microsoft.com/office/drawing/2014/main" id="{2AC2A949-388D-5766-614B-811D7CAB2280}"/>
            </a:ext>
          </a:extLst>
        </xdr:cNvPr>
        <xdr:cNvSpPr/>
      </xdr:nvSpPr>
      <xdr:spPr>
        <a:xfrm>
          <a:off x="13373100" y="2860548"/>
          <a:ext cx="728472" cy="141732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>
            <a:buNone/>
          </a:pPr>
          <a:fld id="{B1F98F7F-6504-449F-A60A-687219878806}" type="TxLink">
            <a:rPr lang="en-US" sz="1050" b="1" i="0" u="none" strike="noStrike">
              <a:solidFill>
                <a:srgbClr val="000000"/>
              </a:solidFill>
              <a:latin typeface="Aptos Narrow"/>
              <a:ea typeface="Calibri" pitchFamily="34" charset="-122"/>
              <a:cs typeface="Calibri" pitchFamily="34" charset="-120"/>
            </a:rPr>
            <a:t>4:55 PM</a:t>
          </a:fld>
          <a:endParaRPr lang="en-US" sz="1000" b="1"/>
        </a:p>
      </xdr:txBody>
    </xdr:sp>
    <xdr:clientData/>
  </xdr:twoCellAnchor>
  <xdr:twoCellAnchor>
    <xdr:from>
      <xdr:col>18</xdr:col>
      <xdr:colOff>106680</xdr:colOff>
      <xdr:row>16</xdr:row>
      <xdr:rowOff>114300</xdr:rowOff>
    </xdr:from>
    <xdr:to>
      <xdr:col>19</xdr:col>
      <xdr:colOff>289560</xdr:colOff>
      <xdr:row>17</xdr:row>
      <xdr:rowOff>80772</xdr:rowOff>
    </xdr:to>
    <xdr:sp macro="" textlink="">
      <xdr:nvSpPr>
        <xdr:cNvPr id="119" name="Text 76">
          <a:extLst>
            <a:ext uri="{FF2B5EF4-FFF2-40B4-BE49-F238E27FC236}">
              <a16:creationId xmlns:a16="http://schemas.microsoft.com/office/drawing/2014/main" id="{374E8896-68F2-35C0-16F9-62991970DEE1}"/>
            </a:ext>
          </a:extLst>
        </xdr:cNvPr>
        <xdr:cNvSpPr/>
      </xdr:nvSpPr>
      <xdr:spPr>
        <a:xfrm>
          <a:off x="11079480" y="3040380"/>
          <a:ext cx="792480" cy="149352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5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Student</a:t>
          </a:r>
          <a:endParaRPr lang="en-US" sz="1050"/>
        </a:p>
      </xdr:txBody>
    </xdr:sp>
    <xdr:clientData/>
  </xdr:twoCellAnchor>
  <xdr:twoCellAnchor>
    <xdr:from>
      <xdr:col>22</xdr:col>
      <xdr:colOff>22860</xdr:colOff>
      <xdr:row>16</xdr:row>
      <xdr:rowOff>121920</xdr:rowOff>
    </xdr:from>
    <xdr:to>
      <xdr:col>23</xdr:col>
      <xdr:colOff>80772</xdr:colOff>
      <xdr:row>17</xdr:row>
      <xdr:rowOff>80772</xdr:rowOff>
    </xdr:to>
    <xdr:sp macro="" textlink="'Analysis 02'!AV19">
      <xdr:nvSpPr>
        <xdr:cNvPr id="120" name="Text 77">
          <a:extLst>
            <a:ext uri="{FF2B5EF4-FFF2-40B4-BE49-F238E27FC236}">
              <a16:creationId xmlns:a16="http://schemas.microsoft.com/office/drawing/2014/main" id="{F2748127-75FA-1DA2-27D0-07B095B28D09}"/>
            </a:ext>
          </a:extLst>
        </xdr:cNvPr>
        <xdr:cNvSpPr/>
      </xdr:nvSpPr>
      <xdr:spPr>
        <a:xfrm>
          <a:off x="13434060" y="3048000"/>
          <a:ext cx="667512" cy="141732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>
            <a:buNone/>
          </a:pPr>
          <a:fld id="{B30095AC-CBF7-4833-835A-EA7973581C5C}" type="TxLink">
            <a:rPr lang="en-US" sz="1050" b="1" i="0" u="none" strike="noStrike">
              <a:solidFill>
                <a:sysClr val="windowText" lastClr="000000"/>
              </a:solidFill>
              <a:latin typeface="Aptos Narrow"/>
              <a:ea typeface="Calibri" pitchFamily="34" charset="-122"/>
              <a:cs typeface="Calibri" pitchFamily="34" charset="-120"/>
            </a:rPr>
            <a:t>8:57 PM</a:t>
          </a:fld>
          <a:endParaRPr 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106680</xdr:colOff>
      <xdr:row>17</xdr:row>
      <xdr:rowOff>99060</xdr:rowOff>
    </xdr:from>
    <xdr:to>
      <xdr:col>19</xdr:col>
      <xdr:colOff>228600</xdr:colOff>
      <xdr:row>18</xdr:row>
      <xdr:rowOff>68580</xdr:rowOff>
    </xdr:to>
    <xdr:sp macro="" textlink="">
      <xdr:nvSpPr>
        <xdr:cNvPr id="122" name="Text 79">
          <a:extLst>
            <a:ext uri="{FF2B5EF4-FFF2-40B4-BE49-F238E27FC236}">
              <a16:creationId xmlns:a16="http://schemas.microsoft.com/office/drawing/2014/main" id="{FD244F2D-11B9-1EC7-6B6F-8D754D3715E0}"/>
            </a:ext>
          </a:extLst>
        </xdr:cNvPr>
        <xdr:cNvSpPr/>
      </xdr:nvSpPr>
      <xdr:spPr>
        <a:xfrm>
          <a:off x="11079480" y="3208020"/>
          <a:ext cx="731520" cy="15240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05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Unemployed</a:t>
          </a:r>
          <a:endParaRPr lang="en-US" sz="1050"/>
        </a:p>
      </xdr:txBody>
    </xdr:sp>
    <xdr:clientData/>
  </xdr:twoCellAnchor>
  <xdr:twoCellAnchor>
    <xdr:from>
      <xdr:col>22</xdr:col>
      <xdr:colOff>53340</xdr:colOff>
      <xdr:row>17</xdr:row>
      <xdr:rowOff>106680</xdr:rowOff>
    </xdr:from>
    <xdr:to>
      <xdr:col>23</xdr:col>
      <xdr:colOff>80772</xdr:colOff>
      <xdr:row>18</xdr:row>
      <xdr:rowOff>68580</xdr:rowOff>
    </xdr:to>
    <xdr:sp macro="" textlink="'Analysis 02'!AV20">
      <xdr:nvSpPr>
        <xdr:cNvPr id="123" name="Text 80">
          <a:extLst>
            <a:ext uri="{FF2B5EF4-FFF2-40B4-BE49-F238E27FC236}">
              <a16:creationId xmlns:a16="http://schemas.microsoft.com/office/drawing/2014/main" id="{16CA557C-F8CB-CD06-D862-138D7A13640E}"/>
            </a:ext>
          </a:extLst>
        </xdr:cNvPr>
        <xdr:cNvSpPr/>
      </xdr:nvSpPr>
      <xdr:spPr>
        <a:xfrm>
          <a:off x="13464540" y="3215640"/>
          <a:ext cx="637032" cy="14478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>
            <a:buNone/>
          </a:pPr>
          <a:fld id="{B32CB195-49EC-45FC-B073-B197C3B9BF5B}" type="TxLink">
            <a:rPr lang="en-US" sz="1050" b="1" i="0" u="none" strike="noStrike">
              <a:solidFill>
                <a:srgbClr val="BA7517"/>
              </a:solidFill>
              <a:latin typeface="Aptos Narrow"/>
              <a:ea typeface="Calibri" pitchFamily="34" charset="-122"/>
              <a:cs typeface="Calibri" pitchFamily="34" charset="-120"/>
            </a:rPr>
            <a:t>11:16 PM</a:t>
          </a:fld>
          <a:endParaRPr lang="en-US" sz="1000" b="1">
            <a:solidFill>
              <a:srgbClr val="BA7517"/>
            </a:solidFill>
          </a:endParaRPr>
        </a:p>
      </xdr:txBody>
    </xdr:sp>
    <xdr:clientData/>
  </xdr:twoCellAnchor>
  <xdr:twoCellAnchor>
    <xdr:from>
      <xdr:col>18</xdr:col>
      <xdr:colOff>76200</xdr:colOff>
      <xdr:row>14</xdr:row>
      <xdr:rowOff>114300</xdr:rowOff>
    </xdr:from>
    <xdr:to>
      <xdr:col>23</xdr:col>
      <xdr:colOff>106680</xdr:colOff>
      <xdr:row>14</xdr:row>
      <xdr:rowOff>124968</xdr:rowOff>
    </xdr:to>
    <xdr:sp macro="" textlink="">
      <xdr:nvSpPr>
        <xdr:cNvPr id="124" name="Shape 66">
          <a:extLst>
            <a:ext uri="{FF2B5EF4-FFF2-40B4-BE49-F238E27FC236}">
              <a16:creationId xmlns:a16="http://schemas.microsoft.com/office/drawing/2014/main" id="{3417D361-93A2-CD73-8E33-C777F290518A}"/>
            </a:ext>
          </a:extLst>
        </xdr:cNvPr>
        <xdr:cNvSpPr/>
      </xdr:nvSpPr>
      <xdr:spPr>
        <a:xfrm flipV="1">
          <a:off x="11049000" y="2674620"/>
          <a:ext cx="3078480" cy="10668"/>
        </a:xfrm>
        <a:prstGeom prst="line">
          <a:avLst/>
        </a:prstGeom>
        <a:noFill/>
        <a:ln w="12700">
          <a:solidFill>
            <a:srgbClr val="D3D1C7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2800"/>
        </a:p>
      </xdr:txBody>
    </xdr:sp>
    <xdr:clientData/>
  </xdr:twoCellAnchor>
  <xdr:twoCellAnchor>
    <xdr:from>
      <xdr:col>18</xdr:col>
      <xdr:colOff>76200</xdr:colOff>
      <xdr:row>15</xdr:row>
      <xdr:rowOff>99060</xdr:rowOff>
    </xdr:from>
    <xdr:to>
      <xdr:col>23</xdr:col>
      <xdr:colOff>106680</xdr:colOff>
      <xdr:row>15</xdr:row>
      <xdr:rowOff>109728</xdr:rowOff>
    </xdr:to>
    <xdr:sp macro="" textlink="">
      <xdr:nvSpPr>
        <xdr:cNvPr id="125" name="Shape 66">
          <a:extLst>
            <a:ext uri="{FF2B5EF4-FFF2-40B4-BE49-F238E27FC236}">
              <a16:creationId xmlns:a16="http://schemas.microsoft.com/office/drawing/2014/main" id="{81EBFBC9-9A27-6B9B-E726-6D341EF8B52F}"/>
            </a:ext>
          </a:extLst>
        </xdr:cNvPr>
        <xdr:cNvSpPr/>
      </xdr:nvSpPr>
      <xdr:spPr>
        <a:xfrm flipV="1">
          <a:off x="11049000" y="2842260"/>
          <a:ext cx="3078480" cy="10668"/>
        </a:xfrm>
        <a:prstGeom prst="line">
          <a:avLst/>
        </a:prstGeom>
        <a:noFill/>
        <a:ln w="12700">
          <a:solidFill>
            <a:srgbClr val="D3D1C7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2800"/>
        </a:p>
      </xdr:txBody>
    </xdr:sp>
    <xdr:clientData/>
  </xdr:twoCellAnchor>
  <xdr:twoCellAnchor>
    <xdr:from>
      <xdr:col>18</xdr:col>
      <xdr:colOff>76200</xdr:colOff>
      <xdr:row>16</xdr:row>
      <xdr:rowOff>91440</xdr:rowOff>
    </xdr:from>
    <xdr:to>
      <xdr:col>23</xdr:col>
      <xdr:colOff>106680</xdr:colOff>
      <xdr:row>16</xdr:row>
      <xdr:rowOff>102108</xdr:rowOff>
    </xdr:to>
    <xdr:sp macro="" textlink="">
      <xdr:nvSpPr>
        <xdr:cNvPr id="126" name="Shape 66">
          <a:extLst>
            <a:ext uri="{FF2B5EF4-FFF2-40B4-BE49-F238E27FC236}">
              <a16:creationId xmlns:a16="http://schemas.microsoft.com/office/drawing/2014/main" id="{0780FCAE-B723-3CDC-1FB4-CBDD56629609}"/>
            </a:ext>
          </a:extLst>
        </xdr:cNvPr>
        <xdr:cNvSpPr/>
      </xdr:nvSpPr>
      <xdr:spPr>
        <a:xfrm flipV="1">
          <a:off x="11049000" y="3017520"/>
          <a:ext cx="3078480" cy="10668"/>
        </a:xfrm>
        <a:prstGeom prst="line">
          <a:avLst/>
        </a:prstGeom>
        <a:noFill/>
        <a:ln w="12700">
          <a:solidFill>
            <a:srgbClr val="D3D1C7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2800"/>
        </a:p>
      </xdr:txBody>
    </xdr:sp>
    <xdr:clientData/>
  </xdr:twoCellAnchor>
  <xdr:twoCellAnchor>
    <xdr:from>
      <xdr:col>18</xdr:col>
      <xdr:colOff>76200</xdr:colOff>
      <xdr:row>17</xdr:row>
      <xdr:rowOff>106680</xdr:rowOff>
    </xdr:from>
    <xdr:to>
      <xdr:col>23</xdr:col>
      <xdr:colOff>106680</xdr:colOff>
      <xdr:row>17</xdr:row>
      <xdr:rowOff>117348</xdr:rowOff>
    </xdr:to>
    <xdr:sp macro="" textlink="">
      <xdr:nvSpPr>
        <xdr:cNvPr id="127" name="Shape 66">
          <a:extLst>
            <a:ext uri="{FF2B5EF4-FFF2-40B4-BE49-F238E27FC236}">
              <a16:creationId xmlns:a16="http://schemas.microsoft.com/office/drawing/2014/main" id="{C7BE332E-C3E3-EE99-9AA0-3804E6F27FA7}"/>
            </a:ext>
          </a:extLst>
        </xdr:cNvPr>
        <xdr:cNvSpPr/>
      </xdr:nvSpPr>
      <xdr:spPr>
        <a:xfrm flipV="1">
          <a:off x="11049000" y="3215640"/>
          <a:ext cx="3078480" cy="10668"/>
        </a:xfrm>
        <a:prstGeom prst="line">
          <a:avLst/>
        </a:prstGeom>
        <a:noFill/>
        <a:ln w="12700">
          <a:solidFill>
            <a:srgbClr val="D3D1C7"/>
          </a:solidFill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2800"/>
        </a:p>
      </xdr:txBody>
    </xdr:sp>
    <xdr:clientData/>
  </xdr:twoCellAnchor>
  <xdr:twoCellAnchor>
    <xdr:from>
      <xdr:col>18</xdr:col>
      <xdr:colOff>38100</xdr:colOff>
      <xdr:row>10</xdr:row>
      <xdr:rowOff>144780</xdr:rowOff>
    </xdr:from>
    <xdr:to>
      <xdr:col>22</xdr:col>
      <xdr:colOff>434340</xdr:colOff>
      <xdr:row>11</xdr:row>
      <xdr:rowOff>126492</xdr:rowOff>
    </xdr:to>
    <xdr:sp macro="" textlink="">
      <xdr:nvSpPr>
        <xdr:cNvPr id="2048" name="Text 63">
          <a:extLst>
            <a:ext uri="{FF2B5EF4-FFF2-40B4-BE49-F238E27FC236}">
              <a16:creationId xmlns:a16="http://schemas.microsoft.com/office/drawing/2014/main" id="{E8BE9E0C-102D-2475-018B-37728E6B00A9}"/>
            </a:ext>
          </a:extLst>
        </xdr:cNvPr>
        <xdr:cNvSpPr/>
      </xdr:nvSpPr>
      <xdr:spPr>
        <a:xfrm>
          <a:off x="11010900" y="1973580"/>
          <a:ext cx="2834640" cy="164592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>
            <a:buNone/>
          </a:pPr>
          <a:r>
            <a:rPr lang="en-US" sz="1000" b="1" kern="0" spc="100">
              <a:solidFill>
                <a:srgbClr val="888780"/>
              </a:solidFill>
              <a:latin typeface="Calibri" pitchFamily="34" charset="0"/>
              <a:ea typeface="Calibri" pitchFamily="34" charset="-122"/>
              <a:cs typeface="Calibri" pitchFamily="34" charset="-120"/>
            </a:rPr>
            <a:t>PEAK TIME BY OCCUPATION</a:t>
          </a:r>
        </a:p>
      </xdr:txBody>
    </xdr:sp>
    <xdr:clientData/>
  </xdr:twoCellAnchor>
  <xdr:twoCellAnchor>
    <xdr:from>
      <xdr:col>17</xdr:col>
      <xdr:colOff>510540</xdr:colOff>
      <xdr:row>20</xdr:row>
      <xdr:rowOff>38100</xdr:rowOff>
    </xdr:from>
    <xdr:to>
      <xdr:col>23</xdr:col>
      <xdr:colOff>297180</xdr:colOff>
      <xdr:row>29</xdr:row>
      <xdr:rowOff>129540</xdr:rowOff>
    </xdr:to>
    <xdr:sp macro="" textlink="">
      <xdr:nvSpPr>
        <xdr:cNvPr id="2051" name="Shape 81">
          <a:extLst>
            <a:ext uri="{FF2B5EF4-FFF2-40B4-BE49-F238E27FC236}">
              <a16:creationId xmlns:a16="http://schemas.microsoft.com/office/drawing/2014/main" id="{EB2F8B12-BB27-1D6A-7C70-1C027A9D2C54}"/>
            </a:ext>
          </a:extLst>
        </xdr:cNvPr>
        <xdr:cNvSpPr/>
      </xdr:nvSpPr>
      <xdr:spPr>
        <a:xfrm>
          <a:off x="10873740" y="3695700"/>
          <a:ext cx="3444240" cy="1737360"/>
        </a:xfrm>
        <a:prstGeom prst="rect">
          <a:avLst/>
        </a:prstGeom>
        <a:solidFill>
          <a:srgbClr val="BA7517">
            <a:alpha val="10000"/>
          </a:srgbClr>
        </a:solidFill>
        <a:ln w="6350">
          <a:solidFill>
            <a:srgbClr val="BA7517">
              <a:alpha val="10000"/>
            </a:srgbClr>
          </a:solidFill>
          <a:prstDash val="solid"/>
        </a:ln>
        <a:effectLst>
          <a:outerShdw blurRad="101600" dist="25400" dir="8100000" algn="bl" rotWithShape="0">
            <a:srgbClr val="000000">
              <a:alpha val="7000"/>
            </a:srgbClr>
          </a:outerShdw>
        </a:effectLst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15240</xdr:colOff>
      <xdr:row>20</xdr:row>
      <xdr:rowOff>137160</xdr:rowOff>
    </xdr:from>
    <xdr:to>
      <xdr:col>18</xdr:col>
      <xdr:colOff>449580</xdr:colOff>
      <xdr:row>23</xdr:row>
      <xdr:rowOff>15240</xdr:rowOff>
    </xdr:to>
    <xdr:sp macro="" textlink="">
      <xdr:nvSpPr>
        <xdr:cNvPr id="2052" name="Shape 82">
          <a:extLst>
            <a:ext uri="{FF2B5EF4-FFF2-40B4-BE49-F238E27FC236}">
              <a16:creationId xmlns:a16="http://schemas.microsoft.com/office/drawing/2014/main" id="{9EBCA180-4DBE-CEF7-B1BE-C484100AB228}"/>
            </a:ext>
          </a:extLst>
        </xdr:cNvPr>
        <xdr:cNvSpPr/>
      </xdr:nvSpPr>
      <xdr:spPr>
        <a:xfrm>
          <a:off x="10988040" y="3794760"/>
          <a:ext cx="434340" cy="426720"/>
        </a:xfrm>
        <a:prstGeom prst="ellipse">
          <a:avLst/>
        </a:prstGeom>
        <a:solidFill>
          <a:srgbClr val="BA7517"/>
        </a:solidFill>
        <a:ln w="12700">
          <a:noFill/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 editAs="oneCell">
    <xdr:from>
      <xdr:col>18</xdr:col>
      <xdr:colOff>53340</xdr:colOff>
      <xdr:row>20</xdr:row>
      <xdr:rowOff>175260</xdr:rowOff>
    </xdr:from>
    <xdr:to>
      <xdr:col>18</xdr:col>
      <xdr:colOff>411480</xdr:colOff>
      <xdr:row>22</xdr:row>
      <xdr:rowOff>167640</xdr:rowOff>
    </xdr:to>
    <xdr:pic>
      <xdr:nvPicPr>
        <xdr:cNvPr id="2054" name="Graphic 2053" descr="Lights On with solid fill">
          <a:extLst>
            <a:ext uri="{FF2B5EF4-FFF2-40B4-BE49-F238E27FC236}">
              <a16:creationId xmlns:a16="http://schemas.microsoft.com/office/drawing/2014/main" id="{E95FFF12-36B5-2AB3-BD2C-97DF4BD9E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alphaModFix/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026140" y="3832860"/>
          <a:ext cx="358140" cy="358140"/>
        </a:xfrm>
        <a:prstGeom prst="rect">
          <a:avLst/>
        </a:prstGeom>
      </xdr:spPr>
    </xdr:pic>
    <xdr:clientData/>
  </xdr:twoCellAnchor>
  <xdr:twoCellAnchor>
    <xdr:from>
      <xdr:col>17</xdr:col>
      <xdr:colOff>510540</xdr:colOff>
      <xdr:row>23</xdr:row>
      <xdr:rowOff>114300</xdr:rowOff>
    </xdr:from>
    <xdr:to>
      <xdr:col>19</xdr:col>
      <xdr:colOff>449580</xdr:colOff>
      <xdr:row>25</xdr:row>
      <xdr:rowOff>7620</xdr:rowOff>
    </xdr:to>
    <xdr:sp macro="" textlink="">
      <xdr:nvSpPr>
        <xdr:cNvPr id="2055" name="TextBox 2054">
          <a:extLst>
            <a:ext uri="{FF2B5EF4-FFF2-40B4-BE49-F238E27FC236}">
              <a16:creationId xmlns:a16="http://schemas.microsoft.com/office/drawing/2014/main" id="{509E5662-1617-A5A9-4BB0-00742986DCD5}"/>
            </a:ext>
          </a:extLst>
        </xdr:cNvPr>
        <xdr:cNvSpPr txBox="1"/>
      </xdr:nvSpPr>
      <xdr:spPr>
        <a:xfrm>
          <a:off x="10873740" y="4320540"/>
          <a:ext cx="115824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>
              <a:solidFill>
                <a:srgbClr val="BA7517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Key insight:</a:t>
          </a:r>
        </a:p>
      </xdr:txBody>
    </xdr:sp>
    <xdr:clientData/>
  </xdr:twoCellAnchor>
  <xdr:twoCellAnchor>
    <xdr:from>
      <xdr:col>17</xdr:col>
      <xdr:colOff>533400</xdr:colOff>
      <xdr:row>25</xdr:row>
      <xdr:rowOff>53340</xdr:rowOff>
    </xdr:from>
    <xdr:to>
      <xdr:col>23</xdr:col>
      <xdr:colOff>274320</xdr:colOff>
      <xdr:row>27</xdr:row>
      <xdr:rowOff>152400</xdr:rowOff>
    </xdr:to>
    <xdr:sp macro="" textlink="">
      <xdr:nvSpPr>
        <xdr:cNvPr id="2056" name="TextBox 2055">
          <a:extLst>
            <a:ext uri="{FF2B5EF4-FFF2-40B4-BE49-F238E27FC236}">
              <a16:creationId xmlns:a16="http://schemas.microsoft.com/office/drawing/2014/main" id="{14FC03E6-4BEF-1B18-1CBA-53CA12251F52}"/>
            </a:ext>
          </a:extLst>
        </xdr:cNvPr>
        <xdr:cNvSpPr txBox="1"/>
      </xdr:nvSpPr>
      <xdr:spPr>
        <a:xfrm>
          <a:off x="10896600" y="4625340"/>
          <a:ext cx="3398520" cy="464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 b="0" i="0">
              <a:solidFill>
                <a:srgbClr val="88878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Off-peak discounts could significantly grow Student and Retired ridership.</a:t>
          </a:r>
          <a:br>
            <a:rPr lang="en-US" sz="1000" b="1" i="0">
              <a:solidFill>
                <a:srgbClr val="534AB7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endParaRPr lang="en-US" sz="1000" b="1" i="0">
            <a:solidFill>
              <a:srgbClr val="534AB7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21</xdr:col>
      <xdr:colOff>518160</xdr:colOff>
      <xdr:row>27</xdr:row>
      <xdr:rowOff>160020</xdr:rowOff>
    </xdr:from>
    <xdr:to>
      <xdr:col>23</xdr:col>
      <xdr:colOff>195072</xdr:colOff>
      <xdr:row>29</xdr:row>
      <xdr:rowOff>68580</xdr:rowOff>
    </xdr:to>
    <xdr:sp macro="[0]!Shape85_Click" textlink="">
      <xdr:nvSpPr>
        <xdr:cNvPr id="2057" name="Shape 85">
          <a:extLst>
            <a:ext uri="{FF2B5EF4-FFF2-40B4-BE49-F238E27FC236}">
              <a16:creationId xmlns:a16="http://schemas.microsoft.com/office/drawing/2014/main" id="{0481D5D4-D70A-F69B-A46B-70197BF519BE}"/>
            </a:ext>
          </a:extLst>
        </xdr:cNvPr>
        <xdr:cNvSpPr/>
      </xdr:nvSpPr>
      <xdr:spPr>
        <a:xfrm>
          <a:off x="13319760" y="5097780"/>
          <a:ext cx="896112" cy="274320"/>
        </a:xfrm>
        <a:prstGeom prst="roundRect">
          <a:avLst>
            <a:gd name="adj" fmla="val 16667"/>
          </a:avLst>
        </a:prstGeom>
        <a:solidFill>
          <a:srgbClr val="BA7517"/>
        </a:solidFill>
        <a:ln w="12700">
          <a:noFill/>
          <a:prstDash val="solid"/>
        </a:ln>
      </xdr:spPr>
      <xdr:txBody>
        <a:bodyPr wrap="square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kern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Learn more</a:t>
          </a:r>
          <a:endParaRPr lang="en-US" sz="1050">
            <a:solidFill>
              <a:schemeClr val="bg1"/>
            </a:solidFill>
          </a:endParaRPr>
        </a:p>
      </xdr:txBody>
    </xdr:sp>
    <xdr:clientData/>
  </xdr:twoCellAnchor>
  <xdr:twoCellAnchor>
    <xdr:from>
      <xdr:col>21</xdr:col>
      <xdr:colOff>502920</xdr:colOff>
      <xdr:row>27</xdr:row>
      <xdr:rowOff>160020</xdr:rowOff>
    </xdr:from>
    <xdr:to>
      <xdr:col>23</xdr:col>
      <xdr:colOff>179832</xdr:colOff>
      <xdr:row>29</xdr:row>
      <xdr:rowOff>68580</xdr:rowOff>
    </xdr:to>
    <xdr:sp macro="" textlink="">
      <xdr:nvSpPr>
        <xdr:cNvPr id="2058" name="Text 86">
          <a:extLst>
            <a:ext uri="{FF2B5EF4-FFF2-40B4-BE49-F238E27FC236}">
              <a16:creationId xmlns:a16="http://schemas.microsoft.com/office/drawing/2014/main" id="{E2698DA9-773E-7250-C64B-DE1A2AF3FBCA}"/>
            </a:ext>
          </a:extLst>
        </xdr:cNvPr>
        <xdr:cNvSpPr/>
      </xdr:nvSpPr>
      <xdr:spPr>
        <a:xfrm>
          <a:off x="13304520" y="5097780"/>
          <a:ext cx="896112" cy="274320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endParaRPr lang="en-US" sz="85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a" refreshedDate="46151.940934722224" createdVersion="8" refreshedVersion="8" minRefreshableVersion="3" recordCount="0" supportSubquery="1" supportAdvancedDrill="1" xr:uid="{71077F26-BCFE-4772-B5B8-EDE710874036}">
  <cacheSource type="external" connectionId="7"/>
  <cacheFields count="2">
    <cacheField name="[Measures].[Sum of NumberOfRiders]" caption="Sum of NumberOfRiders" numFmtId="0" hierarchy="45" level="32767"/>
    <cacheField name="[Dim_routes].[RouteName].[RouteName]" caption="RouteName" numFmtId="0" hierarchy="18" level="1">
      <sharedItems count="10">
        <s v="Airport Express"/>
        <s v="Beachfront Route"/>
        <s v="Central Line"/>
        <s v="City Shuttle"/>
        <s v="East-West Express"/>
        <s v="Market Line"/>
        <s v="North Circular"/>
        <s v="South Line"/>
        <s v="Suburban Line"/>
        <s v="University Line"/>
      </sharedItems>
    </cacheField>
  </cacheFields>
  <cacheHierarchies count="6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Pct]" caption="UtilizationPct" attribute="1" defaultMemberUniqueName="[Facttable_ridership].[UtilizationPct].[All]" allUniqueName="[Facttable_ridership].[UtilizationPct].[All]" dimensionUniqueName="[Facttable_ridership]" displayFolder="" count="0" memberValueDatatype="5" unbalanced="0"/>
    <cacheHierarchy uniqueName="[Facttable_ridership].[Custom]" caption="Custom" attribute="1" defaultMemberUniqueName="[Facttable_ridership].[Custom].[All]" allUniqueName="[Facttable_ridership].[Custom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Dim_DateTabl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BusID 2]" caption="Sum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 2]" caption="Count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Date 2]" caption="Count of Date 2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ime]" caption="Count of Tim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Buses]" caption="Total Buses" measure="1" displayFolder="" measureGroup="Calculations" count="0"/>
    <cacheHierarchy uniqueName="[Measures].[Peak Time]" caption="Peak Time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a" refreshedDate="46151.940936226849" createdVersion="8" refreshedVersion="8" minRefreshableVersion="3" recordCount="0" supportSubquery="1" supportAdvancedDrill="1" xr:uid="{03520F4C-3D61-4746-BA31-A8DF688EDCBC}">
  <cacheSource type="external" connectionId="7"/>
  <cacheFields count="3">
    <cacheField name="[Measures].[Sum of NumberOfRiders]" caption="Sum of NumberOfRiders" numFmtId="0" hierarchy="45" level="32767"/>
    <cacheField name="[Dim_routes].[RouteName].[RouteName]" caption="RouteName" numFmtId="0" hierarchy="18" level="1">
      <sharedItems count="10">
        <s v="Airport Express"/>
        <s v="Beachfront Route"/>
        <s v="Central Line"/>
        <s v="City Shuttle"/>
        <s v="East-West Express"/>
        <s v="Market Line"/>
        <s v="North Circular"/>
        <s v="South Line"/>
        <s v="Suburban Line"/>
        <s v="University Line"/>
      </sharedItems>
    </cacheField>
    <cacheField name="[Dim_demographics].[Gender].[Gender]" caption="Gender" numFmtId="0" hierarchy="14" level="1">
      <sharedItems count="3">
        <s v="Female"/>
        <s v="Male"/>
        <s v="Other"/>
      </sharedItems>
    </cacheField>
  </cacheFields>
  <cacheHierarchies count="6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2" memberValueDatatype="130" unbalanced="0">
      <fieldsUsage count="2">
        <fieldUsage x="-1"/>
        <fieldUsage x="2"/>
      </fieldsUsage>
    </cacheHierarchy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Pct]" caption="UtilizationPct" attribute="1" defaultMemberUniqueName="[Facttable_ridership].[UtilizationPct].[All]" allUniqueName="[Facttable_ridership].[UtilizationPct].[All]" dimensionUniqueName="[Facttable_ridership]" displayFolder="" count="0" memberValueDatatype="5" unbalanced="0"/>
    <cacheHierarchy uniqueName="[Facttable_ridership].[Custom]" caption="Custom" attribute="1" defaultMemberUniqueName="[Facttable_ridership].[Custom].[All]" allUniqueName="[Facttable_ridership].[Custom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Dim_DateTabl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BusID 2]" caption="Sum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 2]" caption="Count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Date 2]" caption="Count of Date 2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ime]" caption="Count of Tim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Buses]" caption="Total Buses" measure="1" displayFolder="" measureGroup="Calculations" count="0"/>
    <cacheHierarchy uniqueName="[Measures].[Peak Time]" caption="Peak Time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a" refreshedDate="46151.940937500003" createdVersion="8" refreshedVersion="8" minRefreshableVersion="3" recordCount="0" supportSubquery="1" supportAdvancedDrill="1" xr:uid="{1123357E-2FBF-4525-85FC-0341D130C8BD}">
  <cacheSource type="external" connectionId="7"/>
  <cacheFields count="3">
    <cacheField name="[Measures].[Sum of NumberOfRiders]" caption="Sum of NumberOfRiders" numFmtId="0" hierarchy="45" level="32767"/>
    <cacheField name="[Dim_routes].[RouteName].[RouteName]" caption="RouteName" numFmtId="0" hierarchy="18" level="1">
      <sharedItems count="10">
        <s v="Airport Express"/>
        <s v="Beachfront Route"/>
        <s v="Central Line"/>
        <s v="City Shuttle"/>
        <s v="East-West Express"/>
        <s v="Market Line"/>
        <s v="North Circular"/>
        <s v="South Line"/>
        <s v="Suburban Line"/>
        <s v="University Line"/>
      </sharedItems>
    </cacheField>
    <cacheField name="[Dim_buses].[BusNumber].[BusNumber]" caption="BusNumber" numFmtId="0" hierarchy="3" level="1">
      <sharedItems count="40">
        <s v="Bus 1"/>
        <s v="Bus 10"/>
        <s v="Bus 11"/>
        <s v="Bus 12"/>
        <s v="Bus 13"/>
        <s v="Bus 14"/>
        <s v="Bus 15"/>
        <s v="Bus 16"/>
        <s v="Bus 17"/>
        <s v="Bus 18"/>
        <s v="Bus 19"/>
        <s v="Bus 2"/>
        <s v="Bus 20"/>
        <s v="Bus 21"/>
        <s v="Bus 22"/>
        <s v="Bus 23"/>
        <s v="Bus 24"/>
        <s v="Bus 25"/>
        <s v="Bus 26"/>
        <s v="Bus 27"/>
        <s v="Bus 28"/>
        <s v="Bus 29"/>
        <s v="Bus 3"/>
        <s v="Bus 30"/>
        <s v="Bus 31"/>
        <s v="Bus 32"/>
        <s v="Bus 33"/>
        <s v="Bus 34"/>
        <s v="Bus 35"/>
        <s v="Bus 36"/>
        <s v="Bus 37"/>
        <s v="Bus 38"/>
        <s v="Bus 39"/>
        <s v="Bus 4"/>
        <s v="Bus 40"/>
        <s v="Bus 5"/>
        <s v="Bus 6"/>
        <s v="Bus 7"/>
        <s v="Bus 8"/>
        <s v="Bus 9"/>
      </sharedItems>
    </cacheField>
  </cacheFields>
  <cacheHierarchies count="6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2" memberValueDatatype="130" unbalanced="0">
      <fieldsUsage count="2">
        <fieldUsage x="-1"/>
        <fieldUsage x="2"/>
      </fieldsUsage>
    </cacheHierarchy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Pct]" caption="UtilizationPct" attribute="1" defaultMemberUniqueName="[Facttable_ridership].[UtilizationPct].[All]" allUniqueName="[Facttable_ridership].[UtilizationPct].[All]" dimensionUniqueName="[Facttable_ridership]" displayFolder="" count="0" memberValueDatatype="5" unbalanced="0"/>
    <cacheHierarchy uniqueName="[Facttable_ridership].[Custom]" caption="Custom" attribute="1" defaultMemberUniqueName="[Facttable_ridership].[Custom].[All]" allUniqueName="[Facttable_ridership].[Custom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Dim_DateTabl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BusID 2]" caption="Sum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 2]" caption="Count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Date 2]" caption="Count of Date 2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ime]" caption="Count of Tim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Buses]" caption="Total Buses" measure="1" displayFolder="" measureGroup="Calculations" count="0"/>
    <cacheHierarchy uniqueName="[Measures].[Peak Time]" caption="Peak Time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a" refreshedDate="46151.940938888889" createdVersion="8" refreshedVersion="8" minRefreshableVersion="3" recordCount="0" supportSubquery="1" supportAdvancedDrill="1" xr:uid="{8F29B309-E4B3-46DE-838B-24D219BED68B}">
  <cacheSource type="external" connectionId="7"/>
  <cacheFields count="3">
    <cacheField name="[Measures].[Sum of NumberOfRiders]" caption="Sum of NumberOfRiders" numFmtId="0" hierarchy="45" level="32767"/>
    <cacheField name="[Dim_routes].[RouteName].[RouteName]" caption="RouteName" numFmtId="0" hierarchy="18" level="1">
      <sharedItems count="10">
        <s v="Airport Express"/>
        <s v="Beachfront Route"/>
        <s v="Central Line"/>
        <s v="City Shuttle"/>
        <s v="East-West Express"/>
        <s v="Market Line"/>
        <s v="North Circular"/>
        <s v="South Line"/>
        <s v="Suburban Line"/>
        <s v="University Line"/>
      </sharedItems>
    </cacheField>
    <cacheField name="[Dim_demographics].[Occupation].[Occupation]" caption="Occupation" numFmtId="0" hierarchy="15" level="1">
      <sharedItems count="6">
        <s v="Other"/>
        <s v="Professional"/>
        <s v="Retired"/>
        <s v="Self-Employed"/>
        <s v="Student"/>
        <s v="Unemployed"/>
      </sharedItems>
    </cacheField>
  </cacheFields>
  <cacheHierarchies count="6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2" memberValueDatatype="130" unbalanced="0">
      <fieldsUsage count="2">
        <fieldUsage x="-1"/>
        <fieldUsage x="2"/>
      </fieldsUsage>
    </cacheHierarchy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Pct]" caption="UtilizationPct" attribute="1" defaultMemberUniqueName="[Facttable_ridership].[UtilizationPct].[All]" allUniqueName="[Facttable_ridership].[UtilizationPct].[All]" dimensionUniqueName="[Facttable_ridership]" displayFolder="" count="0" memberValueDatatype="5" unbalanced="0"/>
    <cacheHierarchy uniqueName="[Facttable_ridership].[Custom]" caption="Custom" attribute="1" defaultMemberUniqueName="[Facttable_ridership].[Custom].[All]" allUniqueName="[Facttable_ridership].[Custom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Dim_DateTabl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BusID 2]" caption="Sum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 2]" caption="Count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Date 2]" caption="Count of Date 2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ime]" caption="Count of Tim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Buses]" caption="Total Buses" measure="1" displayFolder="" measureGroup="Calculations" count="0"/>
    <cacheHierarchy uniqueName="[Measures].[Peak Time]" caption="Peak Time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a" refreshedDate="46151.940940393521" createdVersion="8" refreshedVersion="8" minRefreshableVersion="3" recordCount="0" supportSubquery="1" supportAdvancedDrill="1" xr:uid="{A59B936D-3F1C-46BF-832E-0AD6C3F1547A}">
  <cacheSource type="external" connectionId="7"/>
  <cacheFields count="3">
    <cacheField name="[Measures].[Sum of NumberOfRiders]" caption="Sum of NumberOfRiders" numFmtId="0" hierarchy="45" level="32767"/>
    <cacheField name="[Dim_routes].[RouteName].[RouteName]" caption="RouteName" numFmtId="0" hierarchy="18" level="1">
      <sharedItems count="10">
        <s v="Airport Express"/>
        <s v="Beachfront Route"/>
        <s v="Central Line"/>
        <s v="City Shuttle"/>
        <s v="East-West Express"/>
        <s v="Market Line"/>
        <s v="North Circular"/>
        <s v="South Line"/>
        <s v="Suburban Line"/>
        <s v="University Line"/>
      </sharedItems>
    </cacheField>
    <cacheField name="[Dim_demographics].[Age-Group].[Age-Group]" caption="Age-Group" numFmtId="0" hierarchy="16" level="1">
      <sharedItems count="6">
        <s v="0-19"/>
        <s v="20-29"/>
        <s v="30-39"/>
        <s v="40-49"/>
        <s v="50-59"/>
        <s v="Above 60"/>
      </sharedItems>
    </cacheField>
  </cacheFields>
  <cacheHierarchies count="6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2" memberValueDatatype="130" unbalanced="0">
      <fieldsUsage count="2">
        <fieldUsage x="-1"/>
        <fieldUsage x="2"/>
      </fieldsUsage>
    </cacheHierarchy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Pct]" caption="UtilizationPct" attribute="1" defaultMemberUniqueName="[Facttable_ridership].[UtilizationPct].[All]" allUniqueName="[Facttable_ridership].[UtilizationPct].[All]" dimensionUniqueName="[Facttable_ridership]" displayFolder="" count="0" memberValueDatatype="5" unbalanced="0"/>
    <cacheHierarchy uniqueName="[Facttable_ridership].[Custom]" caption="Custom" attribute="1" defaultMemberUniqueName="[Facttable_ridership].[Custom].[All]" allUniqueName="[Facttable_ridership].[Custom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Dim_DateTabl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BusID 2]" caption="Sum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 2]" caption="Count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Date 2]" caption="Count of Date 2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ime]" caption="Count of Tim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Buses]" caption="Total Buses" measure="1" displayFolder="" measureGroup="Calculations" count="0"/>
    <cacheHierarchy uniqueName="[Measures].[Peak Time]" caption="Peak Time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a" refreshedDate="46151.940941666668" createdVersion="8" refreshedVersion="8" minRefreshableVersion="3" recordCount="0" supportSubquery="1" supportAdvancedDrill="1" xr:uid="{6DD314C4-E6F0-4502-975D-06FE12F89A1A}">
  <cacheSource type="external" connectionId="7"/>
  <cacheFields count="2">
    <cacheField name="[Dim_demographics].[Occupation].[Occupation]" caption="Occupation" numFmtId="0" hierarchy="15" level="1">
      <sharedItems count="6">
        <s v="Other"/>
        <s v="Professional"/>
        <s v="Retired"/>
        <s v="Self-Employed"/>
        <s v="Student"/>
        <s v="Unemployed"/>
      </sharedItems>
    </cacheField>
    <cacheField name="[Measures].[Peak Time]" caption="Peak Time" numFmtId="0" hierarchy="52" level="32767"/>
  </cacheFields>
  <cacheHierarchies count="6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2" memberValueDatatype="130" unbalanced="0">
      <fieldsUsage count="2">
        <fieldUsage x="-1"/>
        <fieldUsage x="0"/>
      </fieldsUsage>
    </cacheHierarchy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Pct]" caption="UtilizationPct" attribute="1" defaultMemberUniqueName="[Facttable_ridership].[UtilizationPct].[All]" allUniqueName="[Facttable_ridership].[UtilizationPct].[All]" dimensionUniqueName="[Facttable_ridership]" displayFolder="" count="0" memberValueDatatype="5" unbalanced="0"/>
    <cacheHierarchy uniqueName="[Facttable_ridership].[Custom]" caption="Custom" attribute="1" defaultMemberUniqueName="[Facttable_ridership].[Custom].[All]" allUniqueName="[Facttable_ridership].[Custom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Dim_DateTabl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BusID 2]" caption="Sum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 2]" caption="Count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Date 2]" caption="Count of Date 2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ime]" caption="Count of Tim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Buses]" caption="Total Buses" measure="1" displayFolder="" measureGroup="Calculations" count="0"/>
    <cacheHierarchy uniqueName="[Measures].[Peak Time]" caption="Peak Time" measure="1" displayFolder="" measureGroup="Calculations" count="0" oneField="1">
      <fieldsUsage count="1">
        <fieldUsage x="1"/>
      </fieldsUsage>
    </cacheHierarchy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a" refreshedDate="46151.940942939815" createdVersion="8" refreshedVersion="8" minRefreshableVersion="3" recordCount="0" supportSubquery="1" supportAdvancedDrill="1" xr:uid="{32E39A90-A96C-4B8C-8B7D-22212F32B0E6}">
  <cacheSource type="external" connectionId="7"/>
  <cacheFields count="2">
    <cacheField name="[Measures].[Sum of NumberOfRiders]" caption="Sum of NumberOfRiders" numFmtId="0" hierarchy="45" level="32767"/>
    <cacheField name="[Measures].[Average of NumberOfRiders]" caption="Average of NumberOfRiders" numFmtId="0" hierarchy="46" level="32767"/>
  </cacheFields>
  <cacheHierarchies count="6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Pct]" caption="UtilizationPct" attribute="1" defaultMemberUniqueName="[Facttable_ridership].[UtilizationPct].[All]" allUniqueName="[Facttable_ridership].[UtilizationPct].[All]" dimensionUniqueName="[Facttable_ridership]" displayFolder="" count="0" memberValueDatatype="5" unbalanced="0"/>
    <cacheHierarchy uniqueName="[Facttable_ridership].[Custom]" caption="Custom" attribute="1" defaultMemberUniqueName="[Facttable_ridership].[Custom].[All]" allUniqueName="[Facttable_ridership].[Custom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Dim_DateTabl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BusID 2]" caption="Sum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 2]" caption="Count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NumberOfRiders]" caption="Average of NumberOfRiders" measure="1" displayFolder="" measureGroup="Facttable_ridership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Date 2]" caption="Count of Date 2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ime]" caption="Count of Tim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Buses]" caption="Total Buses" measure="1" displayFolder="" measureGroup="Calculations" count="0"/>
    <cacheHierarchy uniqueName="[Measures].[Peak Time]" caption="Peak Time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a" refreshedDate="46151.940944097223" createdVersion="8" refreshedVersion="8" minRefreshableVersion="3" recordCount="0" supportSubquery="1" supportAdvancedDrill="1" xr:uid="{DD0EDB08-9952-4B76-A553-03B38C77E54A}">
  <cacheSource type="external" connectionId="7"/>
  <cacheFields count="2">
    <cacheField name="[Measures].[Sum of NumberOfRiders]" caption="Sum of NumberOfRiders" numFmtId="0" hierarchy="45" level="32767"/>
    <cacheField name="[Dim_routes].[RouteName].[RouteName]" caption="RouteName" numFmtId="0" hierarchy="18" level="1">
      <sharedItems count="1">
        <s v="East-West Express"/>
      </sharedItems>
    </cacheField>
  </cacheFields>
  <cacheHierarchies count="6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Pct]" caption="UtilizationPct" attribute="1" defaultMemberUniqueName="[Facttable_ridership].[UtilizationPct].[All]" allUniqueName="[Facttable_ridership].[UtilizationPct].[All]" dimensionUniqueName="[Facttable_ridership]" displayFolder="" count="0" memberValueDatatype="5" unbalanced="0"/>
    <cacheHierarchy uniqueName="[Facttable_ridership].[Custom]" caption="Custom" attribute="1" defaultMemberUniqueName="[Facttable_ridership].[Custom].[All]" allUniqueName="[Facttable_ridership].[Custom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Dim_DateTabl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BusID 2]" caption="Sum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 2]" caption="Count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Date 2]" caption="Count of Date 2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ime]" caption="Count of Tim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Buses]" caption="Total Buses" measure="1" displayFolder="" measureGroup="Calculations" count="0"/>
    <cacheHierarchy uniqueName="[Measures].[Peak Time]" caption="Peak Time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a" refreshedDate="46151.940945254632" createdVersion="8" refreshedVersion="8" minRefreshableVersion="3" recordCount="0" supportSubquery="1" supportAdvancedDrill="1" xr:uid="{3CFABB39-47CD-4772-BEC9-83D8EEF74060}">
  <cacheSource type="external" connectionId="7"/>
  <cacheFields count="5">
    <cacheField name="[Dim_routes].[RouteName].[RouteName]" caption="RouteName" numFmtId="0" hierarchy="18" level="1">
      <sharedItems count="1">
        <s v="East-West Express"/>
      </sharedItems>
    </cacheField>
    <cacheField name="[Facttable_ridership].[Time].[Time]" caption="Time" numFmtId="0" hierarchy="27" level="1">
      <sharedItems containsSemiMixedTypes="0" containsNonDate="0" containsDate="1" containsString="0" minDate="1899-12-30T19:50:00" maxDate="1899-12-30T19:50:00" count="1">
        <d v="1899-12-30T19:50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9:50:00]"/>
          </x15:cachedUniqueNames>
        </ext>
      </extLst>
    </cacheField>
    <cacheField name="[Dim_DateTable].[Month Name].[Month Name]" caption="Month Name" numFmtId="0" hierarchy="7" level="1">
      <sharedItems count="2">
        <s v="Dec"/>
        <s v="Jan"/>
      </sharedItems>
    </cacheField>
    <cacheField name="[Facttable_ridership].[Custom].[Custom]" caption="Custom" numFmtId="0" hierarchy="34" level="1">
      <sharedItems count="3">
        <s v="Over-Utilized"/>
        <s v="Under-Utilized"/>
        <s v="Well-Utilized"/>
      </sharedItems>
    </cacheField>
    <cacheField name="[Measures].[Total Buses]" caption="Total Buses" numFmtId="0" hierarchy="51" level="32767"/>
  </cacheFields>
  <cacheHierarchies count="6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2" memberValueDatatype="130" unbalanced="0">
      <fieldsUsage count="2">
        <fieldUsage x="-1"/>
        <fieldUsage x="2"/>
      </fieldsUsage>
    </cacheHierarchy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0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1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Pct]" caption="UtilizationPct" attribute="1" defaultMemberUniqueName="[Facttable_ridership].[UtilizationPct].[All]" allUniqueName="[Facttable_ridership].[UtilizationPct].[All]" dimensionUniqueName="[Facttable_ridership]" displayFolder="" count="0" memberValueDatatype="5" unbalanced="0"/>
    <cacheHierarchy uniqueName="[Facttable_ridership].[Custom]" caption="Custom" attribute="1" defaultMemberUniqueName="[Facttable_ridership].[Custom].[All]" allUniqueName="[Facttable_ridership].[Custom].[All]" dimensionUniqueName="[Facttable_ridership]" displayFolder="" count="2" memberValueDatatype="130" unbalanced="0">
      <fieldsUsage count="2">
        <fieldUsage x="-1"/>
        <fieldUsage x="3"/>
      </fieldsUsage>
    </cacheHierarchy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Dim_DateTabl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BusID 2]" caption="Sum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 2]" caption="Count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Date 2]" caption="Count of Date 2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ime]" caption="Count of Tim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Buses]" caption="Total Buses" measure="1" displayFolder="" measureGroup="Calculations" count="0" oneField="1">
      <fieldsUsage count="1">
        <fieldUsage x="4"/>
      </fieldsUsage>
    </cacheHierarchy>
    <cacheHierarchy uniqueName="[Measures].[Peak Time]" caption="Peak Time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a" refreshedDate="46151.940946527779" createdVersion="8" refreshedVersion="8" minRefreshableVersion="3" recordCount="0" supportSubquery="1" supportAdvancedDrill="1" xr:uid="{ADBE300F-811E-4DD3-9AAB-3CAED6006D3B}">
  <cacheSource type="external" connectionId="7"/>
  <cacheFields count="5">
    <cacheField name="[Measures].[Sum of NumberOfRiders]" caption="Sum of NumberOfRiders" numFmtId="0" hierarchy="45" level="32767"/>
    <cacheField name="[Dim_routes].[RouteName].[RouteName]" caption="RouteName" numFmtId="0" hierarchy="18" level="1">
      <sharedItems count="1">
        <s v="East-West Express"/>
      </sharedItems>
    </cacheField>
    <cacheField name="[Facttable_ridership].[Time Group].[Time Group]" caption="Time Group" numFmtId="0" hierarchy="31" level="1">
      <sharedItems count="3">
        <s v="10:00 AM - 3:00 PM"/>
        <s v="3:00 PM - 12:00 AM"/>
        <s v="5:00 AM - 10:00 AM"/>
      </sharedItems>
    </cacheField>
    <cacheField name="[Facttable_ridership].[Time].[Time]" caption="Time" numFmtId="0" hierarchy="27" level="1">
      <sharedItems containsSemiMixedTypes="0" containsNonDate="0" containsDate="1" containsString="0" minDate="1899-12-30T19:50:00" maxDate="1899-12-30T19:50:00" count="1">
        <d v="1899-12-30T19:50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9:50:00]"/>
          </x15:cachedUniqueNames>
        </ext>
      </extLst>
    </cacheField>
    <cacheField name="[Dim_DateTable].[Year].[Year]" caption="Year" numFmtId="0" hierarchy="6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im_DateTable].[Year].&amp;[2023]"/>
            <x15:cachedUniqueName index="1" name="[Dim_DateTable].[Year].&amp;[2024]"/>
          </x15:cachedUniqueNames>
        </ext>
      </extLst>
    </cacheField>
  </cacheFields>
  <cacheHierarchies count="6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2" memberValueDatatype="20" unbalanced="0">
      <fieldsUsage count="2">
        <fieldUsage x="-1"/>
        <fieldUsage x="4"/>
      </fieldsUsage>
    </cacheHierarchy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Pct]" caption="UtilizationPct" attribute="1" defaultMemberUniqueName="[Facttable_ridership].[UtilizationPct].[All]" allUniqueName="[Facttable_ridership].[UtilizationPct].[All]" dimensionUniqueName="[Facttable_ridership]" displayFolder="" count="0" memberValueDatatype="5" unbalanced="0"/>
    <cacheHierarchy uniqueName="[Facttable_ridership].[Custom]" caption="Custom" attribute="1" defaultMemberUniqueName="[Facttable_ridership].[Custom].[All]" allUniqueName="[Facttable_ridership].[Custom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Dim_DateTabl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BusID 2]" caption="Sum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 2]" caption="Count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Date 2]" caption="Count of Date 2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ime]" caption="Count of Tim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Buses]" caption="Total Buses" measure="1" displayFolder="" measureGroup="Calculations" count="0"/>
    <cacheHierarchy uniqueName="[Measures].[Peak Time]" caption="Peak Time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a" refreshedDate="46151.940947685187" createdVersion="8" refreshedVersion="8" minRefreshableVersion="3" recordCount="0" supportSubquery="1" supportAdvancedDrill="1" xr:uid="{565C597A-00B5-403A-A347-D884DC30FC01}">
  <cacheSource type="external" connectionId="7"/>
  <cacheFields count="2">
    <cacheField name="[Measures].[Sum of NumberOfRiders]" caption="Sum of NumberOfRiders" numFmtId="0" hierarchy="45" level="32767"/>
    <cacheField name="[Dim_routes].[RouteName].[RouteName]" caption="RouteName" numFmtId="0" hierarchy="18" level="1">
      <sharedItems count="1">
        <s v="South Line"/>
      </sharedItems>
    </cacheField>
  </cacheFields>
  <cacheHierarchies count="6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Pct]" caption="UtilizationPct" attribute="1" defaultMemberUniqueName="[Facttable_ridership].[UtilizationPct].[All]" allUniqueName="[Facttable_ridership].[UtilizationPct].[All]" dimensionUniqueName="[Facttable_ridership]" displayFolder="" count="0" memberValueDatatype="5" unbalanced="0"/>
    <cacheHierarchy uniqueName="[Facttable_ridership].[Custom]" caption="Custom" attribute="1" defaultMemberUniqueName="[Facttable_ridership].[Custom].[All]" allUniqueName="[Facttable_ridership].[Custom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Dim_DateTabl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BusID 2]" caption="Sum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 2]" caption="Count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Date 2]" caption="Count of Date 2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ime]" caption="Count of Tim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Buses]" caption="Total Buses" measure="1" displayFolder="" measureGroup="Calculations" count="0"/>
    <cacheHierarchy uniqueName="[Measures].[Peak Time]" caption="Peak Time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a" refreshedDate="46151.940948958334" createdVersion="8" refreshedVersion="8" minRefreshableVersion="3" recordCount="0" supportSubquery="1" supportAdvancedDrill="1" xr:uid="{23F7342B-7F0E-47E4-9325-BA4F5123EFBA}">
  <cacheSource type="external" connectionId="7"/>
  <cacheFields count="6">
    <cacheField name="[Measures].[Sum of NumberOfRiders]" caption="Sum of NumberOfRiders" numFmtId="0" hierarchy="45" level="32767"/>
    <cacheField name="[Dim_routes].[RouteName].[RouteName]" caption="RouteName" numFmtId="0" hierarchy="18" level="1">
      <sharedItems count="1">
        <s v="East-West Express"/>
      </sharedItems>
    </cacheField>
    <cacheField name="[Facttable_ridership].[Time Group].[Time Group]" caption="Time Group" numFmtId="0" hierarchy="31" level="1">
      <sharedItems count="3">
        <s v="10:00 AM - 3:00 PM"/>
        <s v="3:00 PM - 12:00 AM"/>
        <s v="5:00 AM - 10:00 AM"/>
      </sharedItems>
    </cacheField>
    <cacheField name="[Facttable_ridership].[Time].[Time]" caption="Time" numFmtId="0" hierarchy="27" level="1">
      <sharedItems containsSemiMixedTypes="0" containsNonDate="0" containsDate="1" containsString="0" minDate="1899-12-30T19:50:00" maxDate="1899-12-30T19:50:00" count="1">
        <d v="1899-12-30T19:50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9:50:00]"/>
          </x15:cachedUniqueNames>
        </ext>
      </extLst>
    </cacheField>
    <cacheField name="[Dim_DateTable].[Month Name].[Month Name]" caption="Month Name" numFmtId="0" hierarchy="7" level="1">
      <sharedItems count="2">
        <s v="Dec"/>
        <s v="Jan"/>
      </sharedItems>
    </cacheField>
    <cacheField name="[Facttable_ridership].[Operation Moment].[Operation Moment]" caption="Operation Moment" numFmtId="0" hierarchy="30" level="1">
      <sharedItems count="2">
        <s v="AM"/>
        <s v="PM"/>
      </sharedItems>
    </cacheField>
  </cacheFields>
  <cacheHierarchies count="6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2" memberValueDatatype="130" unbalanced="0">
      <fieldsUsage count="2">
        <fieldUsage x="-1"/>
        <fieldUsage x="4"/>
      </fieldsUsage>
    </cacheHierarchy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2" memberValueDatatype="130" unbalanced="0">
      <fieldsUsage count="2">
        <fieldUsage x="-1"/>
        <fieldUsage x="5"/>
      </fieldsUsage>
    </cacheHierarchy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Pct]" caption="UtilizationPct" attribute="1" defaultMemberUniqueName="[Facttable_ridership].[UtilizationPct].[All]" allUniqueName="[Facttable_ridership].[UtilizationPct].[All]" dimensionUniqueName="[Facttable_ridership]" displayFolder="" count="0" memberValueDatatype="5" unbalanced="0"/>
    <cacheHierarchy uniqueName="[Facttable_ridership].[Custom]" caption="Custom" attribute="1" defaultMemberUniqueName="[Facttable_ridership].[Custom].[All]" allUniqueName="[Facttable_ridership].[Custom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Dim_DateTabl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BusID 2]" caption="Sum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 2]" caption="Count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Date 2]" caption="Count of Date 2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ime]" caption="Count of Tim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Buses]" caption="Total Buses" measure="1" displayFolder="" measureGroup="Calculations" count="0"/>
    <cacheHierarchy uniqueName="[Measures].[Peak Time]" caption="Peak Time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a" refreshedDate="46151.940950231481" createdVersion="8" refreshedVersion="8" minRefreshableVersion="3" recordCount="0" supportSubquery="1" supportAdvancedDrill="1" xr:uid="{3C1881A5-BB06-4822-A41D-E05A34694D55}">
  <cacheSource type="external" connectionId="7"/>
  <cacheFields count="6">
    <cacheField name="[Measures].[Sum of NumberOfRiders]" caption="Sum of NumberOfRiders" numFmtId="0" hierarchy="45" level="32767"/>
    <cacheField name="[Dim_routes].[RouteName].[RouteName]" caption="RouteName" numFmtId="0" hierarchy="18" level="1">
      <sharedItems count="1">
        <s v="East-West Express"/>
      </sharedItems>
    </cacheField>
    <cacheField name="[Facttable_ridership].[Time Group].[Time Group]" caption="Time Group" numFmtId="0" hierarchy="31" level="1">
      <sharedItems count="3">
        <s v="10:00 AM - 3:00 PM"/>
        <s v="3:00 PM - 12:00 AM"/>
        <s v="5:00 AM - 10:00 AM"/>
      </sharedItems>
    </cacheField>
    <cacheField name="[Facttable_ridership].[Time].[Time]" caption="Time" numFmtId="0" hierarchy="27" level="1">
      <sharedItems containsSemiMixedTypes="0" containsNonDate="0" containsDate="1" containsString="0" minDate="1899-12-30T19:50:00" maxDate="1899-12-30T19:50:00" count="1">
        <d v="1899-12-30T19:50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9:50:00]"/>
          </x15:cachedUniqueNames>
        </ext>
      </extLst>
    </cacheField>
    <cacheField name="[Dim_DateTable].[Month Name].[Month Name]" caption="Month Name" numFmtId="0" hierarchy="7" level="1">
      <sharedItems count="2">
        <s v="Dec"/>
        <s v="Jan"/>
      </sharedItems>
    </cacheField>
    <cacheField name="[Dim_DateTable].[Year].[Year]" caption="Year" numFmtId="0" hierarchy="6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im_DateTable].[Year].&amp;[2023]"/>
            <x15:cachedUniqueName index="1" name="[Dim_DateTable].[Year].&amp;[2024]"/>
          </x15:cachedUniqueNames>
        </ext>
      </extLst>
    </cacheField>
  </cacheFields>
  <cacheHierarchies count="6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2" memberValueDatatype="20" unbalanced="0">
      <fieldsUsage count="2">
        <fieldUsage x="-1"/>
        <fieldUsage x="5"/>
      </fieldsUsage>
    </cacheHierarchy>
    <cacheHierarchy uniqueName="[Dim_DateTable].[Month Name]" caption="Month Name" attribute="1" defaultMemberUniqueName="[Dim_DateTable].[Month Name].[All]" allUniqueName="[Dim_DateTable].[Month Name].[All]" dimensionUniqueName="[Dim_DateTable]" displayFolder="" count="2" memberValueDatatype="130" unbalanced="0">
      <fieldsUsage count="2">
        <fieldUsage x="-1"/>
        <fieldUsage x="4"/>
      </fieldsUsage>
    </cacheHierarchy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Pct]" caption="UtilizationPct" attribute="1" defaultMemberUniqueName="[Facttable_ridership].[UtilizationPct].[All]" allUniqueName="[Facttable_ridership].[UtilizationPct].[All]" dimensionUniqueName="[Facttable_ridership]" displayFolder="" count="0" memberValueDatatype="5" unbalanced="0"/>
    <cacheHierarchy uniqueName="[Facttable_ridership].[Custom]" caption="Custom" attribute="1" defaultMemberUniqueName="[Facttable_ridership].[Custom].[All]" allUniqueName="[Facttable_ridership].[Custom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Dim_DateTabl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BusID 2]" caption="Sum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 2]" caption="Count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Date 2]" caption="Count of Date 2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ime]" caption="Count of Tim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Buses]" caption="Total Buses" measure="1" displayFolder="" measureGroup="Calculations" count="0"/>
    <cacheHierarchy uniqueName="[Measures].[Peak Time]" caption="Peak Time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a" refreshedDate="46151.940951504628" createdVersion="8" refreshedVersion="8" minRefreshableVersion="3" recordCount="0" supportSubquery="1" supportAdvancedDrill="1" xr:uid="{F2E5E0F5-7153-4790-A207-62A7460B1C81}">
  <cacheSource type="external" connectionId="7"/>
  <cacheFields count="6">
    <cacheField name="[Measures].[Sum of NumberOfRiders]" caption="Sum of NumberOfRiders" numFmtId="0" hierarchy="45" level="32767"/>
    <cacheField name="[Dim_routes].[RouteName].[RouteName]" caption="RouteName" numFmtId="0" hierarchy="18" level="1">
      <sharedItems count="1">
        <s v="East-West Express"/>
      </sharedItems>
    </cacheField>
    <cacheField name="[Facttable_ridership].[Time Group].[Time Group]" caption="Time Group" numFmtId="0" hierarchy="31" level="1">
      <sharedItems count="3">
        <s v="10:00 AM - 3:00 PM"/>
        <s v="3:00 PM - 12:00 AM"/>
        <s v="5:00 AM - 10:00 AM"/>
      </sharedItems>
    </cacheField>
    <cacheField name="[Facttable_ridership].[Time].[Time]" caption="Time" numFmtId="0" hierarchy="27" level="1">
      <sharedItems containsSemiMixedTypes="0" containsNonDate="0" containsDate="1" containsString="0" minDate="1899-12-30T19:50:00" maxDate="1899-12-30T19:50:00" count="1">
        <d v="1899-12-30T19:50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9:50:00]"/>
          </x15:cachedUniqueNames>
        </ext>
      </extLst>
    </cacheField>
    <cacheField name="[Dim_DateTable].[Year].[Year]" caption="Year" numFmtId="0" hierarchy="6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im_DateTable].[Year].&amp;[2023]"/>
            <x15:cachedUniqueName index="1" name="[Dim_DateTable].[Year].&amp;[2024]"/>
          </x15:cachedUniqueNames>
        </ext>
      </extLst>
    </cacheField>
    <cacheField name="Unsupported0" numFmtId="0" hierarchy="60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1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2" memberValueDatatype="20" unbalanced="0">
      <fieldsUsage count="2">
        <fieldUsage x="-1"/>
        <fieldUsage x="4"/>
      </fieldsUsage>
    </cacheHierarchy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Pct]" caption="UtilizationPct" attribute="1" defaultMemberUniqueName="[Facttable_ridership].[UtilizationPct].[All]" allUniqueName="[Facttable_ridership].[UtilizationPct].[All]" dimensionUniqueName="[Facttable_ridership]" displayFolder="" count="0" memberValueDatatype="5" unbalanced="0"/>
    <cacheHierarchy uniqueName="[Facttable_ridership].[Custom]" caption="Custom" attribute="1" defaultMemberUniqueName="[Facttable_ridership].[Custom].[All]" allUniqueName="[Facttable_ridership].[Custom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Dim_DateTabl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BusID 2]" caption="Sum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 2]" caption="Count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Date 2]" caption="Count of Date 2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ime]" caption="Count of Tim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Buses]" caption="Total Buses" measure="1" displayFolder="" measureGroup="Calculations" count="0"/>
    <cacheHierarchy uniqueName="[Measures].[Peak Time]" caption="Peak Time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  <cacheHierarchy uniqueName="Unsupported0" caption="Calculation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a" refreshedDate="46151.940952662037" createdVersion="8" refreshedVersion="8" minRefreshableVersion="3" recordCount="0" supportSubquery="1" supportAdvancedDrill="1" xr:uid="{83C6794F-B54D-4B97-A7A7-EABC1A5CBF12}">
  <cacheSource type="external" connectionId="7"/>
  <cacheFields count="3">
    <cacheField name="[Measures].[Sum of NumberOfRiders]" caption="Sum of NumberOfRiders" numFmtId="0" hierarchy="45" level="32767"/>
    <cacheField name="[Dim_routes].[RouteName].[RouteName]" caption="RouteName" numFmtId="0" hierarchy="18" level="1">
      <sharedItems count="1">
        <s v="East-West Express"/>
      </sharedItems>
    </cacheField>
    <cacheField name="[Facttable_ridership].[Time Group].[Time Group]" caption="Time Group" numFmtId="0" hierarchy="31" level="1">
      <sharedItems count="3">
        <s v="10:00 AM - 3:00 PM"/>
        <s v="3:00 PM - 12:00 AM"/>
        <s v="5:00 AM - 10:00 AM"/>
      </sharedItems>
    </cacheField>
  </cacheFields>
  <cacheHierarchies count="6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Pct]" caption="UtilizationPct" attribute="1" defaultMemberUniqueName="[Facttable_ridership].[UtilizationPct].[All]" allUniqueName="[Facttable_ridership].[UtilizationPct].[All]" dimensionUniqueName="[Facttable_ridership]" displayFolder="" count="0" memberValueDatatype="5" unbalanced="0"/>
    <cacheHierarchy uniqueName="[Facttable_ridership].[Custom]" caption="Custom" attribute="1" defaultMemberUniqueName="[Facttable_ridership].[Custom].[All]" allUniqueName="[Facttable_ridership].[Custom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Dim_DateTabl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BusID 2]" caption="Sum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 2]" caption="Count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Date 2]" caption="Count of Date 2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ime]" caption="Count of Tim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Buses]" caption="Total Buses" measure="1" displayFolder="" measureGroup="Calculations" count="0"/>
    <cacheHierarchy uniqueName="[Measures].[Peak Time]" caption="Peak Time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a" refreshedDate="46151.940953935184" createdVersion="8" refreshedVersion="8" minRefreshableVersion="3" recordCount="0" supportSubquery="1" supportAdvancedDrill="1" xr:uid="{7A713632-4977-4DF0-8FC5-10D74C633B6C}">
  <cacheSource type="external" connectionId="7"/>
  <cacheFields count="5">
    <cacheField name="[Measures].[Sum of NumberOfRiders]" caption="Sum of NumberOfRiders" numFmtId="0" hierarchy="45" level="32767"/>
    <cacheField name="[Dim_routes].[RouteName].[RouteName]" caption="RouteName" numFmtId="0" hierarchy="18" level="1">
      <sharedItems count="1">
        <s v="East-West Express"/>
      </sharedItems>
    </cacheField>
    <cacheField name="[Facttable_ridership].[Time Group].[Time Group]" caption="Time Group" numFmtId="0" hierarchy="31" level="1">
      <sharedItems count="3">
        <s v="10:00 AM - 3:00 PM"/>
        <s v="3:00 PM - 12:00 AM"/>
        <s v="5:00 AM - 10:00 AM"/>
      </sharedItems>
    </cacheField>
    <cacheField name="[Facttable_ridership].[Time].[Time]" caption="Time" numFmtId="0" hierarchy="27" level="1">
      <sharedItems containsSemiMixedTypes="0" containsNonDate="0" containsDate="1" containsString="0" minDate="1899-12-30T19:50:00" maxDate="1899-12-30T19:50:00" count="1">
        <d v="1899-12-30T19:50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9:50:00]"/>
          </x15:cachedUniqueNames>
        </ext>
      </extLst>
    </cacheField>
    <cacheField name="[Dim_DateTable].[Day Name].[Day Name]" caption="Day Name" numFmtId="0" hierarchy="9" level="1">
      <sharedItems count="7">
        <s v="Sun"/>
        <s v="Mon"/>
        <s v="Tue"/>
        <s v="Wed"/>
        <s v="Thu"/>
        <s v="Fri"/>
        <s v="Sat"/>
      </sharedItems>
    </cacheField>
  </cacheFields>
  <cacheHierarchies count="6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2" memberValueDatatype="130" unbalanced="0">
      <fieldsUsage count="2">
        <fieldUsage x="-1"/>
        <fieldUsage x="4"/>
      </fieldsUsage>
    </cacheHierarchy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Pct]" caption="UtilizationPct" attribute="1" defaultMemberUniqueName="[Facttable_ridership].[UtilizationPct].[All]" allUniqueName="[Facttable_ridership].[UtilizationPct].[All]" dimensionUniqueName="[Facttable_ridership]" displayFolder="" count="0" memberValueDatatype="5" unbalanced="0"/>
    <cacheHierarchy uniqueName="[Facttable_ridership].[Custom]" caption="Custom" attribute="1" defaultMemberUniqueName="[Facttable_ridership].[Custom].[All]" allUniqueName="[Facttable_ridership].[Custom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Dim_DateTabl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BusID 2]" caption="Sum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 2]" caption="Count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Date 2]" caption="Count of Date 2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ime]" caption="Count of Tim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Buses]" caption="Total Buses" measure="1" displayFolder="" measureGroup="Calculations" count="0"/>
    <cacheHierarchy uniqueName="[Measures].[Peak Time]" caption="Peak Time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a" refreshedDate="46151.940954976853" createdVersion="8" refreshedVersion="8" minRefreshableVersion="3" recordCount="0" supportSubquery="1" supportAdvancedDrill="1" xr:uid="{2BE7A3AB-2E62-453E-868A-E89682E5A3E9}">
  <cacheSource type="external" connectionId="7"/>
  <cacheFields count="4">
    <cacheField name="[Measures].[Sum of NumberOfRiders]" caption="Sum of NumberOfRiders" numFmtId="0" hierarchy="45" level="32767"/>
    <cacheField name="[Dim_routes].[RouteName].[RouteName]" caption="RouteName" numFmtId="0" hierarchy="18" level="1">
      <sharedItems count="1">
        <s v="East-West Express"/>
      </sharedItems>
    </cacheField>
    <cacheField name="[Facttable_ridership].[Time Group].[Time Group]" caption="Time Group" numFmtId="0" hierarchy="31" level="1">
      <sharedItems count="3">
        <s v="10:00 AM - 3:00 PM"/>
        <s v="3:00 PM - 12:00 AM"/>
        <s v="5:00 AM - 10:00 AM"/>
      </sharedItems>
    </cacheField>
    <cacheField name="[Facttable_ridership].[Time].[Time]" caption="Time" numFmtId="0" hierarchy="27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20:57:00]"/>
          </x15:cachedUniqueNames>
        </ext>
      </extLst>
    </cacheField>
  </cacheFields>
  <cacheHierarchies count="6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Pct]" caption="UtilizationPct" attribute="1" defaultMemberUniqueName="[Facttable_ridership].[UtilizationPct].[All]" allUniqueName="[Facttable_ridership].[UtilizationPct].[All]" dimensionUniqueName="[Facttable_ridership]" displayFolder="" count="0" memberValueDatatype="5" unbalanced="0"/>
    <cacheHierarchy uniqueName="[Facttable_ridership].[Custom]" caption="Custom" attribute="1" defaultMemberUniqueName="[Facttable_ridership].[Custom].[All]" allUniqueName="[Facttable_ridership].[Custom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Dim_DateTabl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BusID 2]" caption="Sum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 2]" caption="Count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Date 2]" caption="Count of Date 2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ime]" caption="Count of Tim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Buses]" caption="Total Buses" measure="1" displayFolder="" measureGroup="Calculations" count="0"/>
    <cacheHierarchy uniqueName="[Measures].[Peak Time]" caption="Peak Time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a" refreshedDate="46151.940956365739" createdVersion="8" refreshedVersion="8" minRefreshableVersion="3" recordCount="0" supportSubquery="1" supportAdvancedDrill="1" xr:uid="{C2B43E99-2BBA-44C9-8AFB-5AD54102C79A}">
  <cacheSource type="external" connectionId="7"/>
  <cacheFields count="5">
    <cacheField name="[Measures].[Sum of NumberOfRiders]" caption="Sum of NumberOfRiders" numFmtId="0" hierarchy="45" level="32767"/>
    <cacheField name="[Dim_routes].[RouteName].[RouteName]" caption="RouteName" numFmtId="0" hierarchy="18" level="1">
      <sharedItems count="1">
        <s v="East-West Express"/>
      </sharedItems>
    </cacheField>
    <cacheField name="[Facttable_ridership].[Time Group].[Time Group]" caption="Time Group" numFmtId="0" hierarchy="31" level="1">
      <sharedItems count="3">
        <s v="10:00 AM - 3:00 PM"/>
        <s v="3:00 PM - 12:00 AM"/>
        <s v="5:00 AM - 10:00 AM"/>
      </sharedItems>
    </cacheField>
    <cacheField name="[Facttable_ridership].[Time].[Time]" caption="Time" numFmtId="0" hierarchy="27" level="1">
      <sharedItems containsSemiMixedTypes="0" containsNonDate="0" containsDate="1" containsString="0" minDate="1899-12-30T19:50:00" maxDate="1899-12-30T19:50:00" count="1">
        <d v="1899-12-30T19:50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9:50:00]"/>
          </x15:cachedUniqueNames>
        </ext>
      </extLst>
    </cacheField>
    <cacheField name="[Dim_DateTable].[Month Name].[Month Name]" caption="Month Name" numFmtId="0" hierarchy="7" level="1">
      <sharedItems count="2">
        <s v="Dec"/>
        <s v="Jan"/>
      </sharedItems>
    </cacheField>
  </cacheFields>
  <cacheHierarchies count="6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2" memberValueDatatype="130" unbalanced="0">
      <fieldsUsage count="2">
        <fieldUsage x="-1"/>
        <fieldUsage x="4"/>
      </fieldsUsage>
    </cacheHierarchy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Pct]" caption="UtilizationPct" attribute="1" defaultMemberUniqueName="[Facttable_ridership].[UtilizationPct].[All]" allUniqueName="[Facttable_ridership].[UtilizationPct].[All]" dimensionUniqueName="[Facttable_ridership]" displayFolder="" count="0" memberValueDatatype="5" unbalanced="0"/>
    <cacheHierarchy uniqueName="[Facttable_ridership].[Custom]" caption="Custom" attribute="1" defaultMemberUniqueName="[Facttable_ridership].[Custom].[All]" allUniqueName="[Facttable_ridership].[Custom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Dim_DateTabl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BusID 2]" caption="Sum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 2]" caption="Count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Date 2]" caption="Count of Date 2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ime]" caption="Count of Tim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Buses]" caption="Total Buses" measure="1" displayFolder="" measureGroup="Calculations" count="0"/>
    <cacheHierarchy uniqueName="[Measures].[Peak Time]" caption="Peak Time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a" refreshedDate="46151.940957407409" createdVersion="8" refreshedVersion="8" minRefreshableVersion="3" recordCount="0" supportSubquery="1" supportAdvancedDrill="1" xr:uid="{F734057E-99A0-45A0-9A14-A36500E6426A}">
  <cacheSource type="external" connectionId="7"/>
  <cacheFields count="4">
    <cacheField name="[Measures].[Sum of NumberOfRiders]" caption="Sum of NumberOfRiders" numFmtId="0" hierarchy="45" level="32767"/>
    <cacheField name="[Dim_routes].[RouteName].[RouteName]" caption="RouteName" numFmtId="0" hierarchy="18" level="1">
      <sharedItems count="1">
        <s v="East-West Express"/>
      </sharedItems>
    </cacheField>
    <cacheField name="[Facttable_ridership].[Time Group].[Time Group]" caption="Time Group" numFmtId="0" hierarchy="31" level="1">
      <sharedItems count="3">
        <s v="10:00 AM - 3:00 PM"/>
        <s v="3:00 PM - 12:00 AM"/>
        <s v="5:00 AM - 10:00 AM"/>
      </sharedItems>
    </cacheField>
    <cacheField name="[Facttable_ridership].[Time].[Time]" caption="Time" numFmtId="0" hierarchy="27" level="1">
      <sharedItems containsSemiMixedTypes="0" containsNonDate="0" containsDate="1" containsString="0" minDate="1899-12-30T19:50:00" maxDate="1899-12-30T19:50:00" count="1">
        <d v="1899-12-30T19:50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9:50:00]"/>
          </x15:cachedUniqueNames>
        </ext>
      </extLst>
    </cacheField>
  </cacheFields>
  <cacheHierarchies count="60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 Name]" caption="Month Name" attribute="1" defaultMemberUniqueName="[Dim_DateTable].[Month Name].[All]" allUniqueName="[Dim_DateTable].[Month Name].[All]" dimensionUniqueName="[Dim_DateTable]" displayFolder="" count="0" memberValueDatatype="130" unbalanced="0"/>
    <cacheHierarchy uniqueName="[Dim_DateTable].[Month Number]" caption="Month Number" attribute="1" defaultMemberUniqueName="[Dim_DateTable].[Month Number].[All]" allUniqueName="[Dim_DateTable].[Month Number].[All]" dimensionUniqueName="[Dim_DateTable]" displayFolder="" count="0" memberValueDatatype="20" unbalanced="0"/>
    <cacheHierarchy uniqueName="[Dim_DateTable].[Day Name]" caption="Day Name" attribute="1" defaultMemberUniqueName="[Dim_DateTable].[Day Name].[All]" allUniqueName="[Dim_DateTable].[Day Name].[All]" dimensionUniqueName="[Dim_DateTable]" displayFolder="" count="0" memberValueDatatype="130" unbalanced="0"/>
    <cacheHierarchy uniqueName="[Dim_DateTable].[Week Number]" caption="Week Number" attribute="1" defaultMemberUniqueName="[Dim_DateTable].[Week Number].[All]" allUniqueName="[Dim_DateTable].[Week Number].[All]" dimensionUniqueName="[Dim_DateTable]" displayFolder="" count="0" memberValueDatatype="20" unbalanced="0"/>
    <cacheHierarchy uniqueName="[Dim_DateTable].[WeekType]" caption="WeekType" attribute="1" defaultMemberUniqueName="[Dim_DateTable].[WeekType].[All]" allUniqueName="[Dim_DateTable].[Week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-Group]" caption="Age-Group" attribute="1" defaultMemberUniqueName="[Dim_demographics].[Age-Group].[All]" allUniqueName="[Dim_demographics].[Age-Group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Operation Moment]" caption="Operation Moment" attribute="1" defaultMemberUniqueName="[Facttable_ridership].[Operation Moment].[All]" allUniqueName="[Facttable_ridership].[Operation Moment].[All]" dimensionUniqueName="[Facttable_ridership]" displayFolder="" count="0" memberValueDatatype="130" unbalanced="0"/>
    <cacheHierarchy uniqueName="[Facttable_ridership].[Time Group]" caption="Time Group" attribute="1" defaultMemberUniqueName="[Facttable_ridership].[Time Group].[All]" allUniqueName="[Facttable_ridership].[Time Group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Pct]" caption="UtilizationPct" attribute="1" defaultMemberUniqueName="[Facttable_ridership].[UtilizationPct].[All]" allUniqueName="[Facttable_ridership].[UtilizationPct].[All]" dimensionUniqueName="[Facttable_ridership]" displayFolder="" count="0" memberValueDatatype="5" unbalanced="0"/>
    <cacheHierarchy uniqueName="[Facttable_ridership].[Custom]" caption="Custom" attribute="1" defaultMemberUniqueName="[Facttable_ridership].[Custom].[All]" allUniqueName="[Facttable_ridership].[Custom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Measures].[Count of Date]" caption="Count of Date" measure="1" displayFolder="" measureGroup="Dim_DateTabl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ccupation]" caption="Count of Occupation" measure="1" displayFolder="" measureGroup="Dim_demographic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BusID 2]" caption="Sum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BusID 2]" caption="Count of BusID 2" measure="1" displayFolder="" measureGroup="Facttable_ridership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NumberOfRiders]" caption="Sum of NumberOfRiders" measure="1" displayFolder="" measureGroup="Facttable_ridership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Average of NumberOfRiders]" caption="Average of NumberOfRiders" measure="1" displayFolder="" measureGroup="Facttable_ridership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Date 2]" caption="Count of Date 2" measure="1" displayFolder="" measureGroup="Facttable_ridership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Time]" caption="Count of Time" measure="1" displayFolder="" measureGroup="Facttable_ridership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Buses]" caption="Total Buses" measure="1" displayFolder="" measureGroup="Calculations" count="0"/>
    <cacheHierarchy uniqueName="[Measures].[Peak Time]" caption="Peak Time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table_ridership]" caption="__XL_Count Facttable_ridership" measure="1" displayFolder="" measureGroup="Facttable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443DF-B1D2-40EF-84A7-BEC63013C1D3}" name="PivotTable3" cacheId="427" applyNumberFormats="0" applyBorderFormats="0" applyFontFormats="0" applyPatternFormats="0" applyAlignmentFormats="0" applyWidthHeightFormats="1" dataCaption="Values" tag="ffc5d93f-a7b3-4481-a0f2-32db8303e4f4" updatedVersion="8" minRefreshableVersion="3" useAutoFormatting="1" subtotalHiddenItems="1" rowGrandTotals="0" colGrandTotals="0" itemPrintTitles="1" createdVersion="8" indent="0" compact="0" compactData="0" multipleFieldFilters="0" chartFormat="23">
  <location ref="J20:K21" firstHeaderRow="1" firstDataRow="1" firstDataCol="1"/>
  <pivotFields count="4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measureFilter="1" defaultSubtotal="0" defaultAttributeDrillState="1">
      <items count="1">
        <item x="0"/>
      </items>
    </pivotField>
  </pivotFields>
  <rowFields count="1">
    <field x="3"/>
  </rowFields>
  <rowItems count="1">
    <i>
      <x/>
    </i>
  </rowItems>
  <colItems count="1">
    <i/>
  </colItems>
  <dataFields count="1">
    <dataField name="Total Riders (Passengers)" fld="0" baseField="0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iders (Passengers)"/>
    <pivotHierarchy dragToData="1" caption="Avg. Riders Per Trip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3" type="count" id="3" iMeasureHier="45">
      <autoFilter ref="A1">
        <filterColumn colId="0">
          <top10 top="0" val="1" filterVal="1"/>
        </filterColumn>
      </autoFilter>
    </filter>
    <filter fld="1" type="count" id="1" iMeasureHier="45">
      <autoFilter ref="A1">
        <filterColumn colId="0">
          <top10 val="1" filterVal="1"/>
        </filterColumn>
      </autoFilter>
    </filter>
  </filters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7BB7BE-ABE9-42BA-A2C8-AD988C2C4210}" name="PivotTable22" cacheId="424" applyNumberFormats="0" applyBorderFormats="0" applyFontFormats="0" applyPatternFormats="0" applyAlignmentFormats="0" applyWidthHeightFormats="1" dataCaption="Values" tag="ee3e2d4b-0d2c-4806-9516-3cadb2b712bd" updatedVersion="8" minRefreshableVersion="3" useAutoFormatting="1" subtotalHiddenItems="1" rowGrandTotals="0" colGrandTotals="0" itemPrintTitles="1" createdVersion="8" indent="0" compact="0" compactData="0" multipleFieldFilters="0" chartFormat="38">
  <location ref="AI6:AJ8" firstHeaderRow="1" firstDataRow="1" firstDataCol="1"/>
  <pivotFields count="5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measureFilter="1" defaultSubtotal="0" defaultAttributeDrillState="1">
      <items count="1">
        <item x="0"/>
      </items>
    </pivotField>
    <pivotField axis="axisRow" compact="0" allDrilled="1" outline="0" subtotalTop="0" showAll="0" sortType="ascending" defaultSubtotal="0" defaultAttributeDrillState="1">
      <items count="2">
        <item x="1"/>
        <item x="0"/>
      </items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name="Total Riders (Passengers)" fld="0" baseField="0" baseItem="1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iders (Passengers)"/>
    <pivotHierarchy dragToData="1" caption="Avg. Riders Per Trip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1" iMeasureHier="45">
      <autoFilter ref="A1">
        <filterColumn colId="0">
          <top10 val="1" filterVal="1"/>
        </filterColumn>
      </autoFilter>
    </filter>
    <filter fld="3" type="count" id="3" iMeasureHier="45">
      <autoFilter ref="A1">
        <filterColumn colId="0">
          <top10 top="0" val="1" filterVal="1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Dim_route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FB25C8-C9B6-4DA6-90C5-F8806EBC52B5}" name="PivotTable2" cacheId="421" applyNumberFormats="0" applyBorderFormats="0" applyFontFormats="0" applyPatternFormats="0" applyAlignmentFormats="0" applyWidthHeightFormats="1" dataCaption="Values" tag="9199441b-34f3-46cb-9aac-0a08a6e450c1" updatedVersion="8" minRefreshableVersion="3" useAutoFormatting="1" subtotalHiddenItems="1" rowGrandTotals="0" colGrandTotals="0" itemPrintTitles="1" createdVersion="8" indent="0" compact="0" compactData="0" multipleFieldFilters="0" chartFormat="23">
  <location ref="G20:H21" firstHeaderRow="1" firstDataRow="1" firstDataCol="1"/>
  <pivotFields count="4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measureFilter="1" dataSourceSort="1" defaultSubtotal="0" defaultAttributeDrillState="1">
      <items count="1">
        <item x="0"/>
      </items>
    </pivotField>
  </pivotFields>
  <rowFields count="1">
    <field x="3"/>
  </rowFields>
  <rowItems count="1">
    <i>
      <x/>
    </i>
  </rowItems>
  <colItems count="1">
    <i/>
  </colItems>
  <dataFields count="1">
    <dataField name="Total Riders (Passengers)" fld="0" baseField="0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iders (Passengers)"/>
    <pivotHierarchy dragToData="1" caption="Avg. Riders Per Trip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1" iMeasureHier="45">
      <autoFilter ref="A1">
        <filterColumn colId="0">
          <top10 val="1" filterVal="1"/>
        </filterColumn>
      </autoFilter>
    </filter>
    <filter fld="3" type="count" id="2" iMeasureHier="45">
      <autoFilter ref="A1">
        <filterColumn colId="0">
          <top10 val="1" filterVal="1"/>
        </filterColumn>
      </autoFilter>
    </filter>
  </filters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45DB0-D1D9-4C7E-945D-D8F379C53672}" name="PivotTable9" cacheId="418" applyNumberFormats="0" applyBorderFormats="0" applyFontFormats="0" applyPatternFormats="0" applyAlignmentFormats="0" applyWidthHeightFormats="1" dataCaption="Values" tag="797126b4-5c32-4ec3-b9f5-bdeecebcdc26" updatedVersion="8" minRefreshableVersion="3" useAutoFormatting="1" subtotalHiddenItems="1" rowGrandTotals="0" colGrandTotals="0" itemPrintTitles="1" createdVersion="8" indent="0" compact="0" compactData="0" multipleFieldFilters="0" chartFormat="32">
  <location ref="X7:Y14" firstHeaderRow="1" firstDataRow="1" firstDataCol="1"/>
  <pivotFields count="5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measureFilter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Total Riders (Passengers)" fld="0" baseField="0" baseItem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iders (Passengers)"/>
    <pivotHierarchy dragToData="1" caption="Avg. Riders Per Trip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1" iMeasureHier="45">
      <autoFilter ref="A1">
        <filterColumn colId="0">
          <top10 val="1" filterVal="1"/>
        </filterColumn>
      </autoFilter>
    </filter>
    <filter fld="3" type="count" id="3" iMeasureHier="45">
      <autoFilter ref="A1">
        <filterColumn colId="0">
          <top10 top="0" val="1" filterVal="1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Dim_route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382CA-80A0-4527-96C8-876B15821E22}" name="PivotTable1" cacheId="415" applyNumberFormats="0" applyBorderFormats="0" applyFontFormats="0" applyPatternFormats="0" applyAlignmentFormats="0" applyWidthHeightFormats="1" dataCaption="Values" tag="edae531b-9992-45ca-887f-9cbea8e53ad0" updatedVersion="8" minRefreshableVersion="3" useAutoFormatting="1" subtotalHiddenItems="1" rowGrandTotals="0" colGrandTotals="0" itemPrintTitles="1" createdVersion="8" indent="0" compact="0" compactData="0" multipleFieldFilters="0" chartFormat="23">
  <location ref="G8:H11" firstHeaderRow="1" firstDataRow="1" firstDataCol="1"/>
  <pivotFields count="3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3">
    <i>
      <x v="1"/>
    </i>
    <i>
      <x/>
    </i>
    <i>
      <x v="2"/>
    </i>
  </rowItems>
  <colItems count="1">
    <i/>
  </colItems>
  <dataFields count="1">
    <dataField name="Total Riders (Passengers)" fld="0" baseField="0" baseItem="1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iders (Passengers)"/>
    <pivotHierarchy dragToData="1" caption="Avg. Riders Per Trip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45">
      <autoFilter ref="A1">
        <filterColumn colId="0">
          <top10 val="1" filterVal="1"/>
        </filterColumn>
      </autoFilter>
    </filter>
  </filters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F3A8E-9E72-4B2B-A509-D42C0F6EB7D9}" name="PivotTable6" cacheId="412" applyNumberFormats="0" applyBorderFormats="0" applyFontFormats="0" applyPatternFormats="0" applyAlignmentFormats="0" applyWidthHeightFormats="1" dataCaption="Values" tag="cafe5690-dc9b-4edc-a9ba-612caac9d424" updatedVersion="8" minRefreshableVersion="3" useAutoFormatting="1" subtotalHiddenItems="1" rowGrandTotals="0" colGrandTotals="0" itemPrintTitles="1" createdVersion="8" indent="0" compact="0" compactData="0" multipleFieldFilters="0" chartFormat="23">
  <location ref="P13:R15" firstHeaderRow="0" firstDataRow="1" firstDataCol="1"/>
  <pivotFields count="6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measureFilter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4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Total Riders (Passengers)" fld="0" baseField="0" baseItem="1"/>
    <dataField name="Total Riders (Passengers)2" fld="5" showDataAs="percentDiff" baseField="4" baseItem="0" numFmtId="10">
      <extLst>
        <ext xmlns:x14="http://schemas.microsoft.com/office/spreadsheetml/2009/9/main" uri="{E15A36E0-9728-4e99-A89B-3F7291B0FE68}">
          <x14:dataField sourceField="0" uniqueName="[__Xl2].[Measures].[Sum of NumberOfRiders]"/>
        </ext>
      </extLst>
    </dataField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iders (Passengers)2"/>
    <pivotHierarchy dragToData="1" caption="Avg. Riders Per Trip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2">
    <filter fld="1" type="count" id="1" iMeasureHier="45">
      <autoFilter ref="A1">
        <filterColumn colId="0">
          <top10 val="1" filterVal="1"/>
        </filterColumn>
      </autoFilter>
    </filter>
    <filter fld="3" type="count" id="3" iMeasureHier="45">
      <autoFilter ref="A1">
        <filterColumn colId="0">
          <top10 top="0" val="1" filterVal="1"/>
        </filterColumn>
      </autoFilter>
    </filter>
  </filters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Dim_route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BF100-97BF-4D5A-971D-FD2FF1292E0A}" name="PivotTable32" cacheId="409" applyNumberFormats="0" applyBorderFormats="0" applyFontFormats="0" applyPatternFormats="0" applyAlignmentFormats="0" applyWidthHeightFormats="1" dataCaption="Values" tag="967288b1-4540-457a-8651-d1d814afae9e" updatedVersion="8" minRefreshableVersion="3" useAutoFormatting="1" subtotalHiddenItems="1" rowGrandTotals="0" colGrandTotals="0" itemPrintTitles="1" createdVersion="8" indent="0" compact="0" compactData="0" multipleFieldFilters="0" chartFormat="36">
  <location ref="AW17:AX19" firstHeaderRow="1" firstDataRow="1" firstDataCol="1"/>
  <pivotFields count="6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measureFilter="1" defaultSubtotal="0" defaultAttributeDrillState="1">
      <items count="1">
        <item x="0"/>
      </items>
    </pivotField>
    <pivotField compact="0" allDrilled="1" outline="0" subtotalTop="0" showAll="0" sortType="ascending" defaultSubtotal="0" defaultAttributeDrillState="1">
      <items count="2">
        <item x="1"/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5"/>
  </rowFields>
  <rowItems count="2">
    <i>
      <x/>
    </i>
    <i>
      <x v="1"/>
    </i>
  </rowItems>
  <colItems count="1">
    <i/>
  </colItems>
  <dataFields count="1">
    <dataField name="Total Riders (Passengers)" fld="0" baseField="0" baseItem="1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iders (Passengers)"/>
    <pivotHierarchy dragToData="1" caption="Avg. Riders Per Trip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1" iMeasureHier="45">
      <autoFilter ref="A1">
        <filterColumn colId="0">
          <top10 val="1" filterVal="1"/>
        </filterColumn>
      </autoFilter>
    </filter>
    <filter fld="3" type="count" id="3" iMeasureHier="45">
      <autoFilter ref="A1">
        <filterColumn colId="0">
          <top10 top="0" val="1" filterVal="1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Dim_route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714C3-0399-4C76-849A-9CF8E4A544E7}" name="PivotTable30" cacheId="406" applyNumberFormats="0" applyBorderFormats="0" applyFontFormats="0" applyPatternFormats="0" applyAlignmentFormats="0" applyWidthHeightFormats="1" dataCaption="Values" tag="ce0169aa-1f8e-4a71-8e56-2e0007046baa" updatedVersion="8" minRefreshableVersion="3" useAutoFormatting="1" subtotalHiddenItems="1" rowGrandTotals="0" colGrandTotals="0" itemPrintTitles="1" createdVersion="8" indent="0" compact="0" compactData="0" multipleFieldFilters="0" chartFormat="36">
  <location ref="AW6:AX8" firstHeaderRow="1" firstDataRow="1" firstDataCol="1"/>
  <pivotFields count="6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measureFilter="1" defaultSubtotal="0" defaultAttributeDrillState="1">
      <items count="1">
        <item x="0"/>
      </items>
    </pivotField>
    <pivotField compact="0" allDrilled="1" outline="0" subtotalTop="0" showAll="0" sortType="ascending" defaultSubtotal="0" defaultAttributeDrillState="1">
      <items count="2">
        <item x="1"/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5"/>
  </rowFields>
  <rowItems count="2">
    <i>
      <x/>
    </i>
    <i>
      <x v="1"/>
    </i>
  </rowItems>
  <colItems count="1">
    <i/>
  </colItems>
  <dataFields count="1">
    <dataField name="Total Riders (Passengers)" fld="0" baseField="0" baseItem="1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iders (Passengers)"/>
    <pivotHierarchy dragToData="1" caption="Avg. Riders Per Trip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1" iMeasureHier="45">
      <autoFilter ref="A1">
        <filterColumn colId="0">
          <top10 val="1" filterVal="1"/>
        </filterColumn>
      </autoFilter>
    </filter>
    <filter fld="3" type="count" id="3" iMeasureHier="45">
      <autoFilter ref="A1">
        <filterColumn colId="0">
          <top10 top="0" val="1" filterVal="1"/>
        </filterColumn>
      </autoFilter>
    </filter>
  </filters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Dim_route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EE442-7418-4054-B3DD-33B0A36C172D}" name="PivotTable8" cacheId="403" applyNumberFormats="0" applyBorderFormats="0" applyFontFormats="0" applyPatternFormats="0" applyAlignmentFormats="0" applyWidthHeightFormats="1" dataCaption="Values" tag="a14e1e74-2e3c-474d-a7b9-fadb103d6718" updatedVersion="8" minRefreshableVersion="3" useAutoFormatting="1" subtotalHiddenItems="1" rowGrandTotals="0" colGrandTotals="0" itemPrintTitles="1" createdVersion="8" indent="0" compact="0" compactData="0" multipleFieldFilters="0">
  <location ref="B20:C21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measureFilter="1" dataSourceSort="1" defaultSubtotal="0" defaultAttributeDrillState="1">
      <items count="1">
        <item x="0"/>
      </items>
    </pivotField>
  </pivotFields>
  <rowFields count="1">
    <field x="1"/>
  </rowFields>
  <rowItems count="1">
    <i>
      <x/>
    </i>
  </rowItems>
  <colItems count="1">
    <i/>
  </colItems>
  <dataFields count="1">
    <dataField name="Total Riders (Passengers)" fld="0" baseField="0" baseItem="1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iders (Passengers)"/>
    <pivotHierarchy dragToData="1" caption="Avg. Riders Per Trip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2" iMeasureHier="45">
      <autoFilter ref="A1">
        <filterColumn colId="0">
          <top10 top="0" val="1" filterVal="1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E3896-03A3-4948-8F80-8ED3149668A6}" name="PivotTable4" cacheId="400" applyNumberFormats="0" applyBorderFormats="0" applyFontFormats="0" applyPatternFormats="0" applyAlignmentFormats="0" applyWidthHeightFormats="1" dataCaption="Values" tag="f9f4d456-0266-4637-a043-6bde96a3c9ae" updatedVersion="8" minRefreshableVersion="3" useAutoFormatting="1" subtotalHiddenItems="1" rowGrandTotals="0" colGrandTotals="0" itemPrintTitles="1" createdVersion="8" indent="0" compact="0" compactData="0" multipleFieldFilters="0" chartFormat="34">
  <location ref="P7:Q9" firstHeaderRow="1" firstDataRow="1" firstDataCol="1"/>
  <pivotFields count="5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measureFilter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name="Total Riders (Passengers)" fld="0" baseField="0" baseItem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iders (Passengers)"/>
    <pivotHierarchy dragToData="1" caption="Avg. Riders Per Trip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1" iMeasureHier="45">
      <autoFilter ref="A1">
        <filterColumn colId="0">
          <top10 val="1" filterVal="1"/>
        </filterColumn>
      </autoFilter>
    </filter>
    <filter fld="3" type="count" id="3" iMeasureHier="45">
      <autoFilter ref="A1">
        <filterColumn colId="0">
          <top10 top="0" val="1" filterVal="1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Dim_route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A9368-2AB2-4F1D-BD56-CC900AD81D7D}" name="PivotTable23" cacheId="397" applyNumberFormats="0" applyBorderFormats="0" applyFontFormats="0" applyPatternFormats="0" applyAlignmentFormats="0" applyWidthHeightFormats="1" dataCaption="Values" tag="a7272710-1f19-46f1-9ff6-e88cbbc1eb2b" updatedVersion="8" minRefreshableVersion="3" useAutoFormatting="1" subtotalHiddenItems="1" rowGrandTotals="0" colGrandTotals="0" itemPrintTitles="1" createdVersion="8" indent="0" compact="0" compactData="0" multipleFieldFilters="0" chartFormat="36">
  <location ref="AN6:AO9" firstHeaderRow="1" firstDataRow="1" firstDataCol="1"/>
  <pivotFields count="5"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measureFilter="1" defaultSubtotal="0" defaultAttributeDrillState="1">
      <items count="1">
        <item x="0"/>
      </items>
    </pivotField>
    <pivotField compact="0" allDrilled="1" outline="0" subtotalTop="0" showAll="0" sortType="ascending" defaultSubtotal="0" defaultAttributeDrillState="1">
      <items count="2">
        <item x="1"/>
        <item x="0"/>
      </items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showAll="0" defaultSubtotal="0"/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fld="4" subtotal="count" baseField="0" baseItem="0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iders (Passengers)"/>
    <pivotHierarchy dragToData="1" caption="Avg. Riders Per Trip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count" id="1" iMeasureHier="45">
      <autoFilter ref="A1">
        <filterColumn colId="0">
          <top10 val="1" filterVal="1"/>
        </filterColumn>
      </autoFilter>
    </filter>
    <filter fld="1" type="count" id="3" iMeasureHier="45">
      <autoFilter ref="A1">
        <filterColumn colId="0">
          <top10 top="0" val="1" filterVal="1"/>
        </filterColumn>
      </autoFilter>
    </filter>
  </filters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Dim_routes]"/>
        <x15:activeTabTopLevelEntity name="[Dim_DateTable]"/>
        <x15:activeTabTopLevelEntity name="[Calcula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7F2E6-4C28-48C9-A1EF-54E1F3E0772D}" name="PivotTable7" cacheId="394" applyNumberFormats="0" applyBorderFormats="0" applyFontFormats="0" applyPatternFormats="0" applyAlignmentFormats="0" applyWidthHeightFormats="1" dataCaption="Values" tag="b9b3b4eb-a849-4478-944b-9ba7fcc63b54" updatedVersion="8" minRefreshableVersion="3" useAutoFormatting="1" subtotalHiddenItems="1" rowGrandTotals="0" colGrandTotals="0" itemPrintTitles="1" createdVersion="8" indent="0" compact="0" compactData="0" multipleFieldFilters="0">
  <location ref="B14:C15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measureFilter="1" dataSourceSort="1" defaultSubtotal="0" defaultAttributeDrillState="1">
      <items count="1">
        <item x="0"/>
      </items>
    </pivotField>
  </pivotFields>
  <rowFields count="1">
    <field x="1"/>
  </rowFields>
  <rowItems count="1">
    <i>
      <x/>
    </i>
  </rowItems>
  <colItems count="1">
    <i/>
  </colItems>
  <dataFields count="1">
    <dataField name="Total Riders (Passengers)" fld="0" baseField="0" baseItem="1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iders (Passengers)"/>
    <pivotHierarchy dragToData="1" caption="Avg. Riders Per Trip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45">
      <autoFilter ref="A1">
        <filterColumn colId="0">
          <top10 val="1" filterVal="1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A8F04-76B7-4450-AC69-815EAA9DB5DB}" name="PivotTable5" cacheId="391" applyNumberFormats="0" applyBorderFormats="0" applyFontFormats="0" applyPatternFormats="0" applyAlignmentFormats="0" applyWidthHeightFormats="1" dataCaption="Values" tag="40a0b101-1e4e-4579-9320-9433de3bebed" updatedVersion="8" minRefreshableVersion="3" useAutoFormatting="1" subtotalHiddenItems="1" itemPrintTitles="1" createdVersion="8" indent="0" outline="1" outlineData="1" multipleFieldFilters="0">
  <location ref="B8:C9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Riders (Passengers)" fld="0" baseField="0" baseItem="1" numFmtId="3"/>
    <dataField name="Avg. Riders Per Trip" fld="1" subtotal="average" baseField="0" baseItem="1" numFmtId="1"/>
  </dataFields>
  <formats count="1"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iders (Passengers)"/>
    <pivotHierarchy dragToData="1" caption="Avg. Riders Per Trip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FB386D-9262-498C-8902-2F689F91D758}" name="PivotTable14" cacheId="388" applyNumberFormats="0" applyBorderFormats="0" applyFontFormats="0" applyPatternFormats="0" applyAlignmentFormats="0" applyWidthHeightFormats="1" dataCaption="Values" tag="70343015-f8a5-42ed-9213-3635a5e84ca8" updatedVersion="8" minRefreshableVersion="3" useAutoFormatting="1" subtotalHiddenItems="1" rowGrandTotals="0" colGrandTotals="0" itemPrintTitles="1" createdVersion="8" indent="0" compact="0" compactData="0" multipleFieldFilters="0" chartFormat="6">
  <location ref="AU4:AV10" firstHeaderRow="1" firstDataRow="1" firstDataCol="1"/>
  <pivotFields count="2"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compact="0" outline="0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fld="1" subtotal="count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iders (Passengers)"/>
    <pivotHierarchy dragToData="1" caption="Avg. Riders Per Trip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Dim_routes]"/>
        <x15:activeTabTopLevelEntity name="[Dim_demographics]"/>
        <x15:activeTabTopLevelEntity name="[Dim_DateTable]"/>
        <x15:activeTabTopLevelEntity name="[Calcula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FCB64-08A4-4BA0-A031-18D41E175914}" name="PivotTable9" cacheId="385" applyNumberFormats="0" applyBorderFormats="0" applyFontFormats="0" applyPatternFormats="0" applyAlignmentFormats="0" applyWidthHeightFormats="1" dataCaption="Values" tag="8a03b029-3985-44d7-81be-580e4e1aa7d3" updatedVersion="8" minRefreshableVersion="3" useAutoFormatting="1" subtotalHiddenItems="1" rowGrandTotals="0" colGrandTotals="0" itemPrintTitles="1" createdVersion="8" indent="0" compact="0" compactData="0" multipleFieldFilters="0" chartFormat="6">
  <location ref="AO5:AP11" firstHeaderRow="1" firstDataRow="1" firstDataCol="1"/>
  <pivotFields count="3">
    <pivotField dataField="1" compact="0" outline="0" subtotalTop="0" showAll="0" defaultSubtotal="0"/>
    <pivotField compact="0" allDrilled="1" outline="0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6">
    <i>
      <x v="2"/>
    </i>
    <i>
      <x v="4"/>
    </i>
    <i>
      <x v="3"/>
    </i>
    <i>
      <x v="5"/>
    </i>
    <i>
      <x v="1"/>
    </i>
    <i>
      <x/>
    </i>
  </rowItems>
  <colItems count="1">
    <i/>
  </colItems>
  <dataFields count="1">
    <dataField name="Total Riders (Passengers)" fld="0" baseField="0" baseItem="1" numFmtId="3"/>
  </dataFields>
  <formats count="1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iders (Passengers)"/>
    <pivotHierarchy dragToData="1" caption="Avg. Riders Per Trip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Dim_routes]"/>
        <x15:activeTabTopLevelEntity name="[Dim_demograph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FC151-AEE7-40EA-B629-26BFCD2E0519}" name="PivotTable6" cacheId="382" applyNumberFormats="0" applyBorderFormats="0" applyFontFormats="0" applyPatternFormats="0" applyAlignmentFormats="0" applyWidthHeightFormats="1" dataCaption="Values" tag="08939a57-f935-4faf-b5f8-d0f112232fe0" updatedVersion="8" minRefreshableVersion="3" useAutoFormatting="1" subtotalHiddenItems="1" rowGrandTotals="0" colGrandTotals="0" itemPrintTitles="1" createdVersion="8" indent="0" compact="0" compactData="0" multipleFieldFilters="0" chartFormat="6">
  <location ref="AI8:AJ14" firstHeaderRow="1" firstDataRow="1" firstDataCol="1"/>
  <pivotFields count="3">
    <pivotField dataField="1" compact="0" outline="0" subtotalTop="0" showAll="0" defaultSubtotal="0"/>
    <pivotField compact="0" allDrilled="1" outline="0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Total Riders (Passengers)" fld="0" baseField="0" baseItem="1" numFmtId="3"/>
  </dataFields>
  <formats count="1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iders (Passengers)"/>
    <pivotHierarchy dragToData="1" caption="Avg. Riders Per Trip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Dim_routes]"/>
        <x15:activeTabTopLevelEntity name="[Dim_demograph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4737E-EBC4-4141-BDD6-EFDC7802281B}" name="PivotTable2" cacheId="379" applyNumberFormats="0" applyBorderFormats="0" applyFontFormats="0" applyPatternFormats="0" applyAlignmentFormats="0" applyWidthHeightFormats="1" dataCaption="Values" tag="f02189f2-3bb4-4a53-84ef-c5fbd79f1d6c" updatedVersion="8" minRefreshableVersion="3" useAutoFormatting="1" subtotalHiddenItems="1" rowGrandTotals="0" colGrandTotals="0" itemPrintTitles="1" createdVersion="8" indent="0" compact="0" compactData="0" multipleFieldFilters="0" chartFormat="6">
  <location ref="N8:O48" firstHeaderRow="1" firstDataRow="1" firstDataCol="1"/>
  <pivotFields count="3">
    <pivotField dataField="1" compact="0" outline="0" subtotalTop="0" showAll="0" defaultSubtotal="0"/>
    <pivotField compact="0" allDrilled="1" outline="0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sortType="descending" defaultSubtotal="0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40">
    <i>
      <x v="33"/>
    </i>
    <i>
      <x v="20"/>
    </i>
    <i>
      <x v="19"/>
    </i>
    <i>
      <x v="13"/>
    </i>
    <i>
      <x v="31"/>
    </i>
    <i>
      <x v="1"/>
    </i>
    <i>
      <x v="12"/>
    </i>
    <i>
      <x v="26"/>
    </i>
    <i>
      <x v="30"/>
    </i>
    <i>
      <x v="22"/>
    </i>
    <i>
      <x v="9"/>
    </i>
    <i>
      <x v="37"/>
    </i>
    <i>
      <x v="17"/>
    </i>
    <i>
      <x v="23"/>
    </i>
    <i>
      <x v="8"/>
    </i>
    <i>
      <x v="39"/>
    </i>
    <i>
      <x v="14"/>
    </i>
    <i>
      <x v="24"/>
    </i>
    <i>
      <x v="11"/>
    </i>
    <i>
      <x v="3"/>
    </i>
    <i>
      <x v="25"/>
    </i>
    <i>
      <x v="38"/>
    </i>
    <i>
      <x v="2"/>
    </i>
    <i>
      <x v="7"/>
    </i>
    <i>
      <x/>
    </i>
    <i>
      <x v="36"/>
    </i>
    <i>
      <x v="16"/>
    </i>
    <i>
      <x v="21"/>
    </i>
    <i>
      <x v="29"/>
    </i>
    <i>
      <x v="28"/>
    </i>
    <i>
      <x v="15"/>
    </i>
    <i>
      <x v="6"/>
    </i>
    <i>
      <x v="34"/>
    </i>
    <i>
      <x v="35"/>
    </i>
    <i>
      <x v="27"/>
    </i>
    <i>
      <x v="4"/>
    </i>
    <i>
      <x v="5"/>
    </i>
    <i>
      <x v="10"/>
    </i>
    <i>
      <x v="18"/>
    </i>
    <i>
      <x v="32"/>
    </i>
  </rowItems>
  <colItems count="1">
    <i/>
  </colItems>
  <dataFields count="1">
    <dataField name="Total Riders (Passengers)" fld="0" baseField="0" baseItem="1" numFmtId="3"/>
  </dataFields>
  <formats count="1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iders (Passengers)"/>
    <pivotHierarchy dragToData="1" caption="Avg. Riders Per Trip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Dim_routes]"/>
        <x15:activeTabTopLevelEntity name="[Dim_demographics]"/>
        <x15:activeTabTopLevelEntity name="[Dim_bus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05020-B960-4305-97FF-66A0699070BD}" name="PivotTable1" cacheId="376" applyNumberFormats="0" applyBorderFormats="0" applyFontFormats="0" applyPatternFormats="0" applyAlignmentFormats="0" applyWidthHeightFormats="1" dataCaption="Values" tag="682b8d88-0dd0-47e2-b146-c02a604d1cc8" updatedVersion="8" minRefreshableVersion="3" useAutoFormatting="1" subtotalHiddenItems="1" rowGrandTotals="0" colGrandTotals="0" itemPrintTitles="1" createdVersion="8" indent="0" compact="0" compactData="0" multipleFieldFilters="0" chartFormat="6">
  <location ref="G8:H11" firstHeaderRow="1" firstDataRow="1" firstDataCol="1"/>
  <pivotFields count="3">
    <pivotField dataField="1" compact="0" outline="0" subtotalTop="0" showAll="0" defaultSubtotal="0"/>
    <pivotField compact="0" allDrilled="1" outline="0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Total Riders (Passengers)" fld="0" baseField="0" baseItem="1" numFmtId="3"/>
  </dataFields>
  <formats count="1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iders (Passengers)"/>
    <pivotHierarchy dragToData="1" caption="Avg. Riders Per Trip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Dim_routes]"/>
        <x15:activeTabTopLevelEntity name="[Dim_demograph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6DB1C-3F5C-47A7-9747-25ECCFA5EEAD}" name="PivotTable5" cacheId="373" applyNumberFormats="0" applyBorderFormats="0" applyFontFormats="0" applyPatternFormats="0" applyAlignmentFormats="0" applyWidthHeightFormats="1" dataCaption="Values" tag="dd4493f6-2294-449a-acfa-279d9abae0b3" updatedVersion="8" minRefreshableVersion="3" useAutoFormatting="1" subtotalHiddenItems="1" rowGrandTotals="0" colGrandTotals="0" itemPrintTitles="1" createdVersion="8" indent="0" compact="0" compactData="0" multipleFieldFilters="0" chartFormat="6">
  <location ref="B8:C18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0">
    <i>
      <x v="4"/>
    </i>
    <i>
      <x v="2"/>
    </i>
    <i>
      <x/>
    </i>
    <i>
      <x v="9"/>
    </i>
    <i>
      <x v="8"/>
    </i>
    <i>
      <x v="5"/>
    </i>
    <i>
      <x v="3"/>
    </i>
    <i>
      <x v="1"/>
    </i>
    <i>
      <x v="6"/>
    </i>
    <i>
      <x v="7"/>
    </i>
  </rowItems>
  <colItems count="1">
    <i/>
  </colItems>
  <dataFields count="1">
    <dataField name="Total Riders (Passengers)" fld="0" baseField="0" baseItem="1" numFmtId="3"/>
  </dataFields>
  <formats count="1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Riders (Passengers)"/>
    <pivotHierarchy dragToData="1" caption="Avg. Riders Per Trip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_ridership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6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6" Type="http://schemas.openxmlformats.org/officeDocument/2006/relationships/pivotTable" Target="../pivotTables/pivotTable19.xml"/><Relationship Id="rId5" Type="http://schemas.openxmlformats.org/officeDocument/2006/relationships/pivotTable" Target="../pivotTables/pivotTable18.xml"/><Relationship Id="rId4" Type="http://schemas.openxmlformats.org/officeDocument/2006/relationships/pivotTable" Target="../pivotTables/pivotTable1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8C14-A2D0-43FB-B9FF-2DB0A15AE681}">
  <sheetPr codeName="Sheet1"/>
  <dimension ref="B6:AZ25"/>
  <sheetViews>
    <sheetView topLeftCell="AT3" workbookViewId="0">
      <selection activeCell="AZ12" sqref="AZ12"/>
    </sheetView>
  </sheetViews>
  <sheetFormatPr defaultRowHeight="14.4" x14ac:dyDescent="0.3"/>
  <cols>
    <col min="2" max="2" width="13" bestFit="1" customWidth="1"/>
    <col min="3" max="3" width="22.109375" bestFit="1" customWidth="1"/>
    <col min="5" max="5" width="3.44140625" style="3" customWidth="1"/>
    <col min="7" max="7" width="10" bestFit="1" customWidth="1"/>
    <col min="8" max="9" width="22.109375" bestFit="1" customWidth="1"/>
    <col min="10" max="10" width="10" bestFit="1" customWidth="1"/>
    <col min="11" max="11" width="22.109375" bestFit="1" customWidth="1"/>
    <col min="14" max="14" width="8.88671875" style="7" customWidth="1"/>
    <col min="16" max="16" width="6.88671875" bestFit="1" customWidth="1"/>
    <col min="17" max="17" width="22.109375" bestFit="1" customWidth="1"/>
    <col min="18" max="18" width="23.109375" bestFit="1" customWidth="1"/>
    <col min="22" max="22" width="4" style="9" customWidth="1"/>
    <col min="24" max="24" width="11.6640625" bestFit="1" customWidth="1"/>
    <col min="25" max="25" width="22.109375" bestFit="1" customWidth="1"/>
    <col min="29" max="29" width="21.44140625" bestFit="1" customWidth="1"/>
    <col min="31" max="31" width="13.109375" bestFit="1" customWidth="1"/>
    <col min="33" max="33" width="5" style="11" customWidth="1"/>
    <col min="35" max="35" width="13.6640625" bestFit="1" customWidth="1"/>
    <col min="36" max="36" width="22.109375" bestFit="1" customWidth="1"/>
    <col min="38" max="38" width="4.44140625" style="11" customWidth="1"/>
    <col min="40" max="40" width="12.44140625" bestFit="1" customWidth="1"/>
    <col min="41" max="41" width="10.33203125" bestFit="1" customWidth="1"/>
    <col min="42" max="42" width="12.44140625" bestFit="1" customWidth="1"/>
    <col min="45" max="45" width="40.5546875" bestFit="1" customWidth="1"/>
    <col min="47" max="47" width="4.44140625" style="12" customWidth="1"/>
    <col min="49" max="49" width="6.88671875" bestFit="1" customWidth="1"/>
    <col min="50" max="51" width="22.109375" bestFit="1" customWidth="1"/>
  </cols>
  <sheetData>
    <row r="6" spans="2:52" x14ac:dyDescent="0.3">
      <c r="AI6" s="1" t="s">
        <v>33</v>
      </c>
      <c r="AJ6" t="s">
        <v>1</v>
      </c>
      <c r="AN6" s="1" t="s">
        <v>36</v>
      </c>
      <c r="AO6" t="s">
        <v>40</v>
      </c>
      <c r="AW6" s="1" t="s">
        <v>44</v>
      </c>
      <c r="AX6" t="s">
        <v>1</v>
      </c>
    </row>
    <row r="7" spans="2:52" x14ac:dyDescent="0.3">
      <c r="P7" s="1" t="s">
        <v>15</v>
      </c>
      <c r="Q7" t="s">
        <v>1</v>
      </c>
      <c r="X7" s="1" t="s">
        <v>22</v>
      </c>
      <c r="Y7" t="s">
        <v>1</v>
      </c>
      <c r="AB7" s="10" t="str">
        <f>X7</f>
        <v>Day Name</v>
      </c>
      <c r="AC7" s="10" t="str">
        <f>Y7</f>
        <v>Total Riders (Passengers)</v>
      </c>
      <c r="AD7" s="10" t="s">
        <v>30</v>
      </c>
      <c r="AE7" s="10" t="s">
        <v>31</v>
      </c>
      <c r="AI7" t="s">
        <v>35</v>
      </c>
      <c r="AJ7" s="16">
        <v>933</v>
      </c>
      <c r="AN7" t="s">
        <v>39</v>
      </c>
      <c r="AO7" s="5">
        <v>20</v>
      </c>
      <c r="AQ7" t="s">
        <v>43</v>
      </c>
      <c r="AW7" t="s">
        <v>45</v>
      </c>
      <c r="AX7" s="16">
        <v>2331</v>
      </c>
    </row>
    <row r="8" spans="2:52" x14ac:dyDescent="0.3">
      <c r="B8" t="s">
        <v>1</v>
      </c>
      <c r="C8" t="s">
        <v>0</v>
      </c>
      <c r="G8" s="1" t="s">
        <v>7</v>
      </c>
      <c r="H8" t="s">
        <v>1</v>
      </c>
      <c r="J8" t="str">
        <f>G8</f>
        <v>Time Group</v>
      </c>
      <c r="K8" t="str">
        <f>H8</f>
        <v>Total Riders (Passengers)</v>
      </c>
      <c r="L8" t="s">
        <v>11</v>
      </c>
      <c r="P8">
        <v>2023</v>
      </c>
      <c r="Q8" s="16">
        <v>5654</v>
      </c>
      <c r="X8" t="s">
        <v>26</v>
      </c>
      <c r="Y8" s="16">
        <v>1185</v>
      </c>
      <c r="AB8" t="str">
        <f t="shared" ref="AB8:AB13" si="0">X8</f>
        <v>Sun</v>
      </c>
      <c r="AC8">
        <f t="shared" ref="AC8:AC14" si="1">Y8</f>
        <v>1185</v>
      </c>
      <c r="AD8">
        <f>AVERAGE($AC$8:$AC$14)</f>
        <v>941</v>
      </c>
      <c r="AE8">
        <f>IF(AC8&gt;AD8,AC8,"")</f>
        <v>1185</v>
      </c>
      <c r="AI8" t="s">
        <v>34</v>
      </c>
      <c r="AJ8" s="16">
        <v>5654</v>
      </c>
      <c r="AN8" t="s">
        <v>37</v>
      </c>
      <c r="AO8" s="5">
        <v>19</v>
      </c>
      <c r="AQ8" s="5">
        <f>SUM(AO7:AO9)</f>
        <v>77</v>
      </c>
      <c r="AW8" t="s">
        <v>46</v>
      </c>
      <c r="AX8" s="16">
        <v>4256</v>
      </c>
    </row>
    <row r="9" spans="2:52" x14ac:dyDescent="0.3">
      <c r="B9" s="5">
        <v>6587</v>
      </c>
      <c r="C9" s="2">
        <v>32.935000000000002</v>
      </c>
      <c r="G9" t="s">
        <v>10</v>
      </c>
      <c r="H9" s="16">
        <v>2999</v>
      </c>
      <c r="J9" t="str">
        <f t="shared" ref="J9:J11" si="2">G9</f>
        <v>3:00 PM - 12:00 AM</v>
      </c>
      <c r="K9" s="5">
        <f t="shared" ref="K9:K11" si="3">H9</f>
        <v>2999</v>
      </c>
      <c r="L9" s="5">
        <f>MAX($K$9:$K$11)-K9</f>
        <v>0</v>
      </c>
      <c r="P9">
        <v>2024</v>
      </c>
      <c r="Q9" s="16">
        <v>933</v>
      </c>
      <c r="X9" t="s">
        <v>24</v>
      </c>
      <c r="Y9" s="16">
        <v>1085</v>
      </c>
      <c r="AB9" t="str">
        <f t="shared" si="0"/>
        <v>Mon</v>
      </c>
      <c r="AC9">
        <f t="shared" si="1"/>
        <v>1085</v>
      </c>
      <c r="AD9">
        <f t="shared" ref="AD9:AD14" si="4">AVERAGE($AC$8:$AC$14)</f>
        <v>941</v>
      </c>
      <c r="AE9">
        <f t="shared" ref="AE9:AE14" si="5">IF(AC9&gt;AD9,AC9,"")</f>
        <v>1085</v>
      </c>
      <c r="AN9" t="s">
        <v>38</v>
      </c>
      <c r="AO9" s="5">
        <v>38</v>
      </c>
    </row>
    <row r="10" spans="2:52" x14ac:dyDescent="0.3">
      <c r="G10" t="s">
        <v>8</v>
      </c>
      <c r="H10" s="16">
        <v>2243</v>
      </c>
      <c r="J10" t="str">
        <f t="shared" si="2"/>
        <v>10:00 AM - 3:00 PM</v>
      </c>
      <c r="K10" s="5">
        <f t="shared" si="3"/>
        <v>2243</v>
      </c>
      <c r="L10" s="5">
        <f t="shared" ref="L10:L11" si="6">MAX($K$9:$K$11)-K10</f>
        <v>756</v>
      </c>
      <c r="X10" t="s">
        <v>28</v>
      </c>
      <c r="Y10" s="16">
        <v>983</v>
      </c>
      <c r="AB10" t="str">
        <f t="shared" si="0"/>
        <v>Tue</v>
      </c>
      <c r="AC10">
        <f t="shared" si="1"/>
        <v>983</v>
      </c>
      <c r="AD10">
        <f t="shared" si="4"/>
        <v>941</v>
      </c>
      <c r="AE10">
        <f t="shared" si="5"/>
        <v>983</v>
      </c>
    </row>
    <row r="11" spans="2:52" x14ac:dyDescent="0.3">
      <c r="G11" t="s">
        <v>9</v>
      </c>
      <c r="H11" s="16">
        <v>1345</v>
      </c>
      <c r="J11" t="str">
        <f t="shared" si="2"/>
        <v>5:00 AM - 10:00 AM</v>
      </c>
      <c r="K11" s="5">
        <f t="shared" si="3"/>
        <v>1345</v>
      </c>
      <c r="L11" s="5">
        <f t="shared" si="6"/>
        <v>1654</v>
      </c>
      <c r="X11" t="s">
        <v>29</v>
      </c>
      <c r="Y11" s="16">
        <v>887</v>
      </c>
      <c r="AB11" t="str">
        <f t="shared" si="0"/>
        <v>Wed</v>
      </c>
      <c r="AC11">
        <f t="shared" si="1"/>
        <v>887</v>
      </c>
      <c r="AD11">
        <f t="shared" si="4"/>
        <v>941</v>
      </c>
      <c r="AE11" t="str">
        <f t="shared" si="5"/>
        <v/>
      </c>
      <c r="AP11" t="str">
        <f>AN6</f>
        <v>Custom</v>
      </c>
      <c r="AQ11" t="s">
        <v>41</v>
      </c>
      <c r="AR11" t="s">
        <v>42</v>
      </c>
      <c r="AS11" t="s">
        <v>32</v>
      </c>
      <c r="AW11" s="10" t="str">
        <f t="shared" ref="AW11:AX13" si="7">AW6</f>
        <v>Operation Moment</v>
      </c>
      <c r="AX11" s="10" t="str">
        <f t="shared" si="7"/>
        <v>Total Riders (Passengers)</v>
      </c>
      <c r="AY11" s="10" t="s">
        <v>47</v>
      </c>
      <c r="AZ11" t="s">
        <v>49</v>
      </c>
    </row>
    <row r="12" spans="2:52" x14ac:dyDescent="0.3">
      <c r="X12" t="s">
        <v>27</v>
      </c>
      <c r="Y12" s="16">
        <v>889</v>
      </c>
      <c r="AB12" t="str">
        <f t="shared" si="0"/>
        <v>Thu</v>
      </c>
      <c r="AC12">
        <f t="shared" si="1"/>
        <v>889</v>
      </c>
      <c r="AD12">
        <f t="shared" si="4"/>
        <v>941</v>
      </c>
      <c r="AE12" t="str">
        <f t="shared" si="5"/>
        <v/>
      </c>
      <c r="AP12" t="str">
        <f t="shared" ref="AP12:AP14" si="8">AN7</f>
        <v>Over-Utilized</v>
      </c>
      <c r="AQ12" s="8">
        <f>AO7/SUM($AO$7:$AO$9)</f>
        <v>0.25974025974025972</v>
      </c>
      <c r="AR12" s="8">
        <f>1-AQ12</f>
        <v>0.74025974025974028</v>
      </c>
      <c r="AS12" t="str">
        <f>"Buses Required: " &amp; AO7 &amp; " · Capacity Utilization: " &amp; TEXT(AQ12,"0.00%")</f>
        <v>Buses Required: 20 · Capacity Utilization: 25.97%</v>
      </c>
      <c r="AW12" t="str">
        <f t="shared" si="7"/>
        <v>AM</v>
      </c>
      <c r="AX12">
        <f t="shared" si="7"/>
        <v>2331</v>
      </c>
      <c r="AY12" s="8">
        <f>AX12/SUM($AX$12:$AX$13)</f>
        <v>0.35387885228480342</v>
      </c>
      <c r="AZ12" s="8">
        <f>1-AY12</f>
        <v>0.64612114771519658</v>
      </c>
    </row>
    <row r="13" spans="2:52" x14ac:dyDescent="0.3">
      <c r="B13" t="s">
        <v>4</v>
      </c>
      <c r="P13" s="1" t="s">
        <v>15</v>
      </c>
      <c r="Q13" t="s">
        <v>1</v>
      </c>
      <c r="R13" t="s">
        <v>16</v>
      </c>
      <c r="X13" t="s">
        <v>23</v>
      </c>
      <c r="Y13" s="16">
        <v>762</v>
      </c>
      <c r="AB13" t="str">
        <f t="shared" si="0"/>
        <v>Fri</v>
      </c>
      <c r="AC13">
        <f t="shared" si="1"/>
        <v>762</v>
      </c>
      <c r="AD13">
        <f t="shared" si="4"/>
        <v>941</v>
      </c>
      <c r="AE13" t="str">
        <f t="shared" si="5"/>
        <v/>
      </c>
      <c r="AP13" t="str">
        <f t="shared" si="8"/>
        <v>Under-Utilized</v>
      </c>
      <c r="AQ13" s="8">
        <f t="shared" ref="AQ13:AQ14" si="9">AO8/SUM($AO$7:$AO$9)</f>
        <v>0.24675324675324675</v>
      </c>
      <c r="AR13" s="8">
        <f t="shared" ref="AR13:AR14" si="10">1-AQ13</f>
        <v>0.75324675324675328</v>
      </c>
      <c r="AS13" t="str">
        <f t="shared" ref="AS13:AS14" si="11">"Buses Required: " &amp; AO8 &amp; " · Capacity Utilization: " &amp; TEXT(AQ13,"0.00%")</f>
        <v>Buses Required: 19 · Capacity Utilization: 24.68%</v>
      </c>
      <c r="AW13" t="str">
        <f t="shared" si="7"/>
        <v>PM</v>
      </c>
      <c r="AX13">
        <f t="shared" si="7"/>
        <v>4256</v>
      </c>
      <c r="AY13" s="8">
        <f>AX13/SUM($AX$12:$AX$13)</f>
        <v>0.64612114771519658</v>
      </c>
      <c r="AZ13" s="8">
        <f>1-AY13</f>
        <v>0.35387885228480342</v>
      </c>
    </row>
    <row r="14" spans="2:52" x14ac:dyDescent="0.3">
      <c r="B14" s="1" t="s">
        <v>5</v>
      </c>
      <c r="C14" t="s">
        <v>1</v>
      </c>
      <c r="P14">
        <v>2023</v>
      </c>
      <c r="Q14" s="16">
        <v>5654</v>
      </c>
      <c r="R14" s="8"/>
      <c r="X14" t="s">
        <v>25</v>
      </c>
      <c r="Y14" s="16">
        <v>796</v>
      </c>
      <c r="AB14" t="str">
        <f>X14</f>
        <v>Sat</v>
      </c>
      <c r="AC14">
        <f t="shared" si="1"/>
        <v>796</v>
      </c>
      <c r="AD14">
        <f t="shared" si="4"/>
        <v>941</v>
      </c>
      <c r="AE14" t="str">
        <f t="shared" si="5"/>
        <v/>
      </c>
      <c r="AP14" t="str">
        <f t="shared" si="8"/>
        <v>Well-Utilized</v>
      </c>
      <c r="AQ14" s="8">
        <f t="shared" si="9"/>
        <v>0.4935064935064935</v>
      </c>
      <c r="AR14" s="8">
        <f t="shared" si="10"/>
        <v>0.50649350649350655</v>
      </c>
      <c r="AS14" t="str">
        <f t="shared" si="11"/>
        <v>Buses Required: 38 · Capacity Utilization: 49.35%</v>
      </c>
    </row>
    <row r="15" spans="2:52" x14ac:dyDescent="0.3">
      <c r="B15" t="s">
        <v>2</v>
      </c>
      <c r="C15" s="16">
        <v>1322</v>
      </c>
      <c r="P15">
        <v>2024</v>
      </c>
      <c r="Q15" s="16">
        <v>933</v>
      </c>
      <c r="R15" s="8">
        <v>-0.83498408206579411</v>
      </c>
    </row>
    <row r="17" spans="2:51" x14ac:dyDescent="0.3">
      <c r="AW17" s="1" t="s">
        <v>15</v>
      </c>
      <c r="AX17" t="s">
        <v>1</v>
      </c>
      <c r="AY17" t="s">
        <v>48</v>
      </c>
    </row>
    <row r="18" spans="2:51" x14ac:dyDescent="0.3">
      <c r="AW18">
        <v>2023</v>
      </c>
      <c r="AX18" s="16">
        <v>5654</v>
      </c>
      <c r="AY18" s="8">
        <f>AX18/SUM(AX18:AX19)</f>
        <v>0.85835737057841199</v>
      </c>
    </row>
    <row r="19" spans="2:51" x14ac:dyDescent="0.3">
      <c r="B19" t="s">
        <v>6</v>
      </c>
      <c r="G19" t="s">
        <v>12</v>
      </c>
      <c r="J19" t="s">
        <v>14</v>
      </c>
      <c r="R19" t="s">
        <v>17</v>
      </c>
      <c r="S19" t="s">
        <v>18</v>
      </c>
      <c r="AB19" s="10" t="s">
        <v>32</v>
      </c>
      <c r="AW19">
        <v>2024</v>
      </c>
      <c r="AX19" s="16">
        <v>933</v>
      </c>
      <c r="AY19" s="8">
        <f>AX19/SUM(AX18:AX19)</f>
        <v>0.14164262942158798</v>
      </c>
    </row>
    <row r="20" spans="2:51" x14ac:dyDescent="0.3">
      <c r="B20" s="1" t="s">
        <v>5</v>
      </c>
      <c r="C20" t="s">
        <v>1</v>
      </c>
      <c r="G20" s="1" t="s">
        <v>13</v>
      </c>
      <c r="H20" t="s">
        <v>1</v>
      </c>
      <c r="J20" s="1" t="s">
        <v>13</v>
      </c>
      <c r="K20" t="s">
        <v>1</v>
      </c>
      <c r="R20" s="8">
        <f>(Q9-Q8)/Q8</f>
        <v>-0.83498408206579411</v>
      </c>
      <c r="S20" t="str">
        <f>IF(R20&lt;0,R25,R24)</f>
        <v>▼</v>
      </c>
      <c r="AB20" t="str">
        <f>"The highlited days exceed  " &amp;
AD8 &amp;
" avg ·  " &amp;
TEXT(SUMIF(AC8:AC14,"&gt;"&amp;AD8,AC8:AC14)/SUM(AC8:AC14),"0.0%")
&amp; " of total"</f>
        <v>The highlited days exceed  941 avg ·  49.4% of total</v>
      </c>
    </row>
    <row r="21" spans="2:51" x14ac:dyDescent="0.3">
      <c r="B21" t="s">
        <v>3</v>
      </c>
      <c r="C21" s="16">
        <v>185</v>
      </c>
      <c r="G21" s="6">
        <v>0.87291666666666667</v>
      </c>
      <c r="H21" s="16">
        <v>80</v>
      </c>
      <c r="J21" s="6">
        <v>0.82638888888888884</v>
      </c>
      <c r="K21" s="16">
        <v>15</v>
      </c>
    </row>
    <row r="24" spans="2:51" x14ac:dyDescent="0.3">
      <c r="R24" t="s">
        <v>19</v>
      </c>
      <c r="S24" t="s">
        <v>21</v>
      </c>
    </row>
    <row r="25" spans="2:51" x14ac:dyDescent="0.3">
      <c r="R25" t="s">
        <v>20</v>
      </c>
      <c r="S25" t="str">
        <f>IF(R20&lt;0,"YoY needs attention","YoY improves")</f>
        <v>YoY needs attention</v>
      </c>
    </row>
  </sheetData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049B-D9CA-43C6-95D4-99BB838AEDBE}">
  <sheetPr codeName="Sheet2"/>
  <dimension ref="B1:AV48"/>
  <sheetViews>
    <sheetView topLeftCell="AS1" workbookViewId="0">
      <selection activeCell="AU15" sqref="AU15"/>
    </sheetView>
  </sheetViews>
  <sheetFormatPr defaultRowHeight="14.4" x14ac:dyDescent="0.3"/>
  <cols>
    <col min="2" max="2" width="15.88671875" bestFit="1" customWidth="1"/>
    <col min="3" max="3" width="22.109375" bestFit="1" customWidth="1"/>
    <col min="5" max="5" width="4.33203125" style="7" customWidth="1"/>
    <col min="7" max="7" width="9.33203125" bestFit="1" customWidth="1"/>
    <col min="8" max="8" width="22.109375" bestFit="1" customWidth="1"/>
    <col min="10" max="10" width="18" bestFit="1" customWidth="1"/>
    <col min="12" max="12" width="3.5546875" style="7" customWidth="1"/>
    <col min="14" max="14" width="13" bestFit="1" customWidth="1"/>
    <col min="15" max="15" width="22.109375" bestFit="1" customWidth="1"/>
    <col min="16" max="16" width="10.5546875" bestFit="1" customWidth="1"/>
    <col min="17" max="17" width="21.44140625" bestFit="1" customWidth="1"/>
    <col min="22" max="22" width="11.5546875" bestFit="1" customWidth="1"/>
    <col min="33" max="33" width="2.88671875" style="15" customWidth="1"/>
    <col min="35" max="35" width="12.88671875" bestFit="1" customWidth="1"/>
    <col min="36" max="36" width="22.109375" bestFit="1" customWidth="1"/>
    <col min="39" max="39" width="3.33203125" style="15" customWidth="1"/>
    <col min="41" max="41" width="12" bestFit="1" customWidth="1"/>
    <col min="42" max="42" width="22.109375" bestFit="1" customWidth="1"/>
    <col min="45" max="45" width="4" style="15" customWidth="1"/>
    <col min="47" max="47" width="12.88671875" bestFit="1" customWidth="1"/>
    <col min="48" max="48" width="11" bestFit="1" customWidth="1"/>
    <col min="49" max="51" width="13.33203125" bestFit="1" customWidth="1"/>
    <col min="52" max="52" width="7.5546875" bestFit="1" customWidth="1"/>
    <col min="53" max="53" width="11.5546875" bestFit="1" customWidth="1"/>
  </cols>
  <sheetData>
    <row r="1" spans="2:48" x14ac:dyDescent="0.3">
      <c r="AB1">
        <v>2</v>
      </c>
      <c r="AC1" t="str">
        <f>IF($AB$1=1, "Top 5 Performing Buses", "Bottom 5 Under-Performing Buses")</f>
        <v>Bottom 5 Under-Performing Buses</v>
      </c>
    </row>
    <row r="4" spans="2:48" x14ac:dyDescent="0.3">
      <c r="AU4" s="1" t="s">
        <v>109</v>
      </c>
      <c r="AV4" t="s">
        <v>124</v>
      </c>
    </row>
    <row r="5" spans="2:48" x14ac:dyDescent="0.3">
      <c r="AO5" s="1" t="s">
        <v>117</v>
      </c>
      <c r="AP5" t="s">
        <v>1</v>
      </c>
      <c r="AU5" t="s">
        <v>61</v>
      </c>
      <c r="AV5" s="17">
        <v>0.90277777777777779</v>
      </c>
    </row>
    <row r="6" spans="2:48" x14ac:dyDescent="0.3">
      <c r="AO6" t="s">
        <v>120</v>
      </c>
      <c r="AP6" s="5">
        <v>1474</v>
      </c>
      <c r="AU6" t="s">
        <v>110</v>
      </c>
      <c r="AV6" s="17">
        <v>0.32847222222222222</v>
      </c>
    </row>
    <row r="7" spans="2:48" x14ac:dyDescent="0.3">
      <c r="AO7" t="s">
        <v>122</v>
      </c>
      <c r="AP7" s="5">
        <v>1382</v>
      </c>
      <c r="AU7" t="s">
        <v>111</v>
      </c>
      <c r="AV7" s="17">
        <v>0.36805555555555558</v>
      </c>
    </row>
    <row r="8" spans="2:48" x14ac:dyDescent="0.3">
      <c r="B8" s="1" t="s">
        <v>5</v>
      </c>
      <c r="C8" t="s">
        <v>1</v>
      </c>
      <c r="G8" s="1" t="s">
        <v>58</v>
      </c>
      <c r="H8" t="s">
        <v>1</v>
      </c>
      <c r="N8" s="1" t="s">
        <v>63</v>
      </c>
      <c r="O8" t="s">
        <v>1</v>
      </c>
      <c r="P8" s="10" t="str">
        <f>N8</f>
        <v>BusNumber</v>
      </c>
      <c r="Q8" s="10" t="str">
        <f>O8</f>
        <v>Total Riders (Passengers)</v>
      </c>
      <c r="R8" s="10" t="s">
        <v>104</v>
      </c>
      <c r="S8" s="10" t="s">
        <v>105</v>
      </c>
      <c r="T8" s="10" t="s">
        <v>106</v>
      </c>
      <c r="V8" s="10" t="s">
        <v>107</v>
      </c>
      <c r="W8" s="10" t="s">
        <v>108</v>
      </c>
      <c r="Y8" s="10" t="s">
        <v>105</v>
      </c>
      <c r="Z8" s="10" t="s">
        <v>106</v>
      </c>
      <c r="AI8" s="1" t="s">
        <v>109</v>
      </c>
      <c r="AJ8" t="s">
        <v>1</v>
      </c>
      <c r="AO8" t="s">
        <v>121</v>
      </c>
      <c r="AP8" s="5">
        <v>1281</v>
      </c>
      <c r="AU8" t="s">
        <v>112</v>
      </c>
      <c r="AV8" s="17">
        <v>0.70486111111111116</v>
      </c>
    </row>
    <row r="9" spans="2:48" x14ac:dyDescent="0.3">
      <c r="B9" t="s">
        <v>2</v>
      </c>
      <c r="C9" s="5">
        <v>1322</v>
      </c>
      <c r="G9" t="s">
        <v>59</v>
      </c>
      <c r="H9" s="5">
        <v>1007</v>
      </c>
      <c r="N9" t="s">
        <v>97</v>
      </c>
      <c r="O9" s="5">
        <v>324</v>
      </c>
      <c r="P9" t="str">
        <f t="shared" ref="P9:P48" si="0">N9</f>
        <v>Bus 4</v>
      </c>
      <c r="Q9">
        <f t="shared" ref="Q9:Q48" si="1">O9</f>
        <v>324</v>
      </c>
      <c r="R9">
        <v>1</v>
      </c>
      <c r="S9" t="str">
        <f>INDEX($P$9:$P$48, MATCH(LARGE($Q$9:$Q$48,R9), $Q$9:$Q$48, 0))</f>
        <v>Bus 4</v>
      </c>
      <c r="T9">
        <f>LARGE($Q$9:$Q$48, R9)</f>
        <v>324</v>
      </c>
      <c r="V9" t="str">
        <f>INDEX($P$9:$P$48, MATCH(SMALL($Q$9:$Q$48,R9), $Q$9:$Q$48, 0))</f>
        <v>Bus 26</v>
      </c>
      <c r="W9">
        <f>SMALL($Q$9:$Q$48, ROW(A1))</f>
        <v>57</v>
      </c>
      <c r="Y9" t="str">
        <f>IF($AB$1=1, S9, V9)</f>
        <v>Bus 26</v>
      </c>
      <c r="Z9">
        <f>IF($AB$1=1, T9, W9)</f>
        <v>57</v>
      </c>
      <c r="AI9" t="s">
        <v>61</v>
      </c>
      <c r="AJ9" s="5">
        <v>1633</v>
      </c>
      <c r="AO9" t="s">
        <v>123</v>
      </c>
      <c r="AP9" s="5">
        <v>1089</v>
      </c>
      <c r="AU9" t="s">
        <v>113</v>
      </c>
      <c r="AV9" s="17">
        <v>0.87291666666666667</v>
      </c>
    </row>
    <row r="10" spans="2:48" x14ac:dyDescent="0.3">
      <c r="B10" t="s">
        <v>52</v>
      </c>
      <c r="C10" s="5">
        <v>1271</v>
      </c>
      <c r="G10" t="s">
        <v>60</v>
      </c>
      <c r="H10" s="5">
        <v>4877</v>
      </c>
      <c r="N10" t="s">
        <v>84</v>
      </c>
      <c r="O10" s="5">
        <v>295</v>
      </c>
      <c r="P10" t="str">
        <f t="shared" si="0"/>
        <v>Bus 28</v>
      </c>
      <c r="Q10">
        <f t="shared" si="1"/>
        <v>295</v>
      </c>
      <c r="R10">
        <v>2</v>
      </c>
      <c r="S10" t="str">
        <f t="shared" ref="S10:S13" si="2">INDEX($P$9:$P$48, MATCH(LARGE($Q$9:$Q$48,R10), $Q$9:$Q$48, 0))</f>
        <v>Bus 28</v>
      </c>
      <c r="T10">
        <f t="shared" ref="T10:T13" si="3">LARGE($Q$9:$Q$48, R10)</f>
        <v>295</v>
      </c>
      <c r="V10" t="str">
        <f t="shared" ref="V10:V13" si="4">INDEX($P$9:$P$48, MATCH(SMALL($Q$9:$Q$48,R10), $Q$9:$Q$48, 0))</f>
        <v>Bus 26</v>
      </c>
      <c r="W10">
        <f t="shared" ref="W10:W13" si="5">SMALL($Q$9:$Q$48, ROW(A2))</f>
        <v>57</v>
      </c>
      <c r="Y10" t="str">
        <f t="shared" ref="Y10:Y13" si="6">IF($AB$1=1, S10, V10)</f>
        <v>Bus 26</v>
      </c>
      <c r="Z10">
        <f t="shared" ref="Z10:Z13" si="7">IF($AB$1=1, T10, W10)</f>
        <v>57</v>
      </c>
      <c r="AI10" t="s">
        <v>110</v>
      </c>
      <c r="AJ10" s="5">
        <v>1554</v>
      </c>
      <c r="AO10" t="s">
        <v>119</v>
      </c>
      <c r="AP10" s="5">
        <v>785</v>
      </c>
      <c r="AU10" t="s">
        <v>114</v>
      </c>
      <c r="AV10" s="17">
        <v>0.96944444444444444</v>
      </c>
    </row>
    <row r="11" spans="2:48" x14ac:dyDescent="0.3">
      <c r="B11" t="s">
        <v>50</v>
      </c>
      <c r="C11" s="5">
        <v>754</v>
      </c>
      <c r="G11" t="s">
        <v>61</v>
      </c>
      <c r="H11" s="5">
        <v>703</v>
      </c>
      <c r="N11" t="s">
        <v>83</v>
      </c>
      <c r="O11" s="5">
        <v>293</v>
      </c>
      <c r="P11" t="str">
        <f t="shared" si="0"/>
        <v>Bus 27</v>
      </c>
      <c r="Q11">
        <f t="shared" si="1"/>
        <v>293</v>
      </c>
      <c r="R11">
        <v>3</v>
      </c>
      <c r="S11" t="str">
        <f t="shared" si="2"/>
        <v>Bus 27</v>
      </c>
      <c r="T11">
        <f t="shared" si="3"/>
        <v>293</v>
      </c>
      <c r="V11" t="str">
        <f t="shared" si="4"/>
        <v>Bus 19</v>
      </c>
      <c r="W11">
        <f t="shared" si="5"/>
        <v>69</v>
      </c>
      <c r="Y11" t="str">
        <f t="shared" si="6"/>
        <v>Bus 19</v>
      </c>
      <c r="Z11">
        <f t="shared" si="7"/>
        <v>69</v>
      </c>
      <c r="AI11" t="s">
        <v>111</v>
      </c>
      <c r="AJ11" s="5">
        <v>589</v>
      </c>
      <c r="AO11" t="s">
        <v>118</v>
      </c>
      <c r="AP11" s="5">
        <v>576</v>
      </c>
    </row>
    <row r="12" spans="2:48" x14ac:dyDescent="0.3">
      <c r="B12" t="s">
        <v>57</v>
      </c>
      <c r="C12" s="5">
        <v>741</v>
      </c>
      <c r="N12" t="s">
        <v>77</v>
      </c>
      <c r="O12" s="5">
        <v>264</v>
      </c>
      <c r="P12" t="str">
        <f t="shared" si="0"/>
        <v>Bus 21</v>
      </c>
      <c r="Q12">
        <f t="shared" si="1"/>
        <v>264</v>
      </c>
      <c r="R12">
        <v>4</v>
      </c>
      <c r="S12" t="str">
        <f t="shared" si="2"/>
        <v>Bus 21</v>
      </c>
      <c r="T12">
        <f t="shared" si="3"/>
        <v>264</v>
      </c>
      <c r="V12" t="str">
        <f t="shared" si="4"/>
        <v>Bus 14</v>
      </c>
      <c r="W12">
        <f t="shared" si="5"/>
        <v>72</v>
      </c>
      <c r="Y12" t="str">
        <f t="shared" si="6"/>
        <v>Bus 14</v>
      </c>
      <c r="Z12">
        <f t="shared" si="7"/>
        <v>72</v>
      </c>
      <c r="AI12" t="s">
        <v>112</v>
      </c>
      <c r="AJ12" s="5">
        <v>1321</v>
      </c>
    </row>
    <row r="13" spans="2:48" x14ac:dyDescent="0.3">
      <c r="B13" t="s">
        <v>56</v>
      </c>
      <c r="C13" s="5">
        <v>659</v>
      </c>
      <c r="N13" t="s">
        <v>95</v>
      </c>
      <c r="O13" s="5">
        <v>263</v>
      </c>
      <c r="P13" t="str">
        <f t="shared" si="0"/>
        <v>Bus 38</v>
      </c>
      <c r="Q13">
        <f t="shared" si="1"/>
        <v>263</v>
      </c>
      <c r="R13">
        <v>5</v>
      </c>
      <c r="S13" t="str">
        <f t="shared" si="2"/>
        <v>Bus 38</v>
      </c>
      <c r="T13">
        <f t="shared" si="3"/>
        <v>263</v>
      </c>
      <c r="V13" t="str">
        <f t="shared" si="4"/>
        <v>Bus 13</v>
      </c>
      <c r="W13">
        <f t="shared" si="5"/>
        <v>89</v>
      </c>
      <c r="Y13" t="str">
        <f t="shared" si="6"/>
        <v>Bus 13</v>
      </c>
      <c r="Z13">
        <f t="shared" si="7"/>
        <v>89</v>
      </c>
      <c r="AI13" t="s">
        <v>113</v>
      </c>
      <c r="AJ13" s="5">
        <v>479</v>
      </c>
    </row>
    <row r="14" spans="2:48" x14ac:dyDescent="0.3">
      <c r="B14" t="s">
        <v>54</v>
      </c>
      <c r="C14" s="5">
        <v>609</v>
      </c>
      <c r="N14" t="s">
        <v>65</v>
      </c>
      <c r="O14" s="5">
        <v>262</v>
      </c>
      <c r="P14" t="str">
        <f t="shared" si="0"/>
        <v>Bus 10</v>
      </c>
      <c r="Q14">
        <f t="shared" si="1"/>
        <v>262</v>
      </c>
      <c r="AI14" t="s">
        <v>114</v>
      </c>
      <c r="AJ14" s="5">
        <v>1011</v>
      </c>
      <c r="AO14" t="str">
        <f>AO5</f>
        <v>Age-Group</v>
      </c>
      <c r="AP14" t="str">
        <f>AP5</f>
        <v>Total Riders (Passengers)</v>
      </c>
      <c r="AQ14" t="s">
        <v>116</v>
      </c>
      <c r="AU14" t="str">
        <f>AU4</f>
        <v>Occupation</v>
      </c>
      <c r="AV14" t="str">
        <f>AV4</f>
        <v>Peak Time</v>
      </c>
    </row>
    <row r="15" spans="2:48" x14ac:dyDescent="0.3">
      <c r="B15" t="s">
        <v>53</v>
      </c>
      <c r="C15" s="5">
        <v>509</v>
      </c>
      <c r="N15" t="s">
        <v>76</v>
      </c>
      <c r="O15" s="5">
        <v>242</v>
      </c>
      <c r="P15" t="str">
        <f t="shared" si="0"/>
        <v>Bus 20</v>
      </c>
      <c r="Q15">
        <f t="shared" si="1"/>
        <v>242</v>
      </c>
      <c r="AO15" t="str">
        <f>AO6</f>
        <v>30-39</v>
      </c>
      <c r="AP15" s="13">
        <f>AP6</f>
        <v>1474</v>
      </c>
      <c r="AQ15" s="8">
        <f>AP15/SUM($AP$15:$AP$20)</f>
        <v>0.22377410050098678</v>
      </c>
      <c r="AU15" t="str">
        <f>AU5</f>
        <v>Other</v>
      </c>
      <c r="AV15" s="18">
        <f>AV5</f>
        <v>0.90277777777777779</v>
      </c>
    </row>
    <row r="16" spans="2:48" x14ac:dyDescent="0.3">
      <c r="B16" t="s">
        <v>51</v>
      </c>
      <c r="C16" s="5">
        <v>331</v>
      </c>
      <c r="G16" t="str">
        <f>G8</f>
        <v>Gender</v>
      </c>
      <c r="H16" t="str">
        <f>H8</f>
        <v>Total Riders (Passengers)</v>
      </c>
      <c r="I16" t="s">
        <v>48</v>
      </c>
      <c r="J16" t="s">
        <v>62</v>
      </c>
      <c r="N16" t="s">
        <v>90</v>
      </c>
      <c r="O16" s="5">
        <v>239</v>
      </c>
      <c r="P16" t="str">
        <f t="shared" si="0"/>
        <v>Bus 33</v>
      </c>
      <c r="Q16">
        <f t="shared" si="1"/>
        <v>239</v>
      </c>
      <c r="AO16" t="str">
        <f>AO7</f>
        <v>50-59</v>
      </c>
      <c r="AP16" s="13">
        <f>AP7</f>
        <v>1382</v>
      </c>
      <c r="AQ16" s="8">
        <f t="shared" ref="AQ16:AQ20" si="8">AP16/SUM($AP$15:$AP$20)</f>
        <v>0.20980719599210565</v>
      </c>
      <c r="AU16" t="str">
        <f>AU6</f>
        <v>Professional</v>
      </c>
      <c r="AV16" s="18">
        <f>AV6</f>
        <v>0.32847222222222222</v>
      </c>
    </row>
    <row r="17" spans="2:48" x14ac:dyDescent="0.3">
      <c r="B17" t="s">
        <v>55</v>
      </c>
      <c r="C17" s="5">
        <v>206</v>
      </c>
      <c r="G17" t="str">
        <f t="shared" ref="G17:H17" si="9">G9</f>
        <v>Female</v>
      </c>
      <c r="H17">
        <f t="shared" si="9"/>
        <v>1007</v>
      </c>
      <c r="I17" s="8">
        <f>H17/SUM($H$17:$H$19)</f>
        <v>0.15287687870047062</v>
      </c>
      <c r="J17" s="14" t="str">
        <f>REPT("⬤",ROUND(I17*10,0))&amp;REPT("○",10-ROUND(I17*10,0))</f>
        <v>⬤⬤○○○○○○○○</v>
      </c>
      <c r="N17" t="s">
        <v>94</v>
      </c>
      <c r="O17" s="5">
        <v>216</v>
      </c>
      <c r="P17" t="str">
        <f t="shared" si="0"/>
        <v>Bus 37</v>
      </c>
      <c r="Q17">
        <f t="shared" si="1"/>
        <v>216</v>
      </c>
      <c r="AO17" t="str">
        <f>AO8</f>
        <v>40-49</v>
      </c>
      <c r="AP17" s="13">
        <f>AP8</f>
        <v>1281</v>
      </c>
      <c r="AQ17" s="8">
        <f t="shared" si="8"/>
        <v>0.1944739638682253</v>
      </c>
      <c r="AU17" t="str">
        <f>AU7</f>
        <v>Retired</v>
      </c>
      <c r="AV17" s="18">
        <f>AV7</f>
        <v>0.36805555555555558</v>
      </c>
    </row>
    <row r="18" spans="2:48" x14ac:dyDescent="0.3">
      <c r="B18" t="s">
        <v>3</v>
      </c>
      <c r="C18" s="5">
        <v>185</v>
      </c>
      <c r="G18" t="str">
        <f t="shared" ref="G18:H18" si="10">G10</f>
        <v>Male</v>
      </c>
      <c r="H18">
        <f t="shared" si="10"/>
        <v>4877</v>
      </c>
      <c r="I18" s="8">
        <f t="shared" ref="I18:I19" si="11">H18/SUM($H$17:$H$19)</f>
        <v>0.74039775315014422</v>
      </c>
      <c r="J18" s="14" t="str">
        <f t="shared" ref="J18:J19" si="12">REPT("⬤",ROUND(I18*10,0))&amp;REPT("○",10-ROUND(I18*10,0))</f>
        <v>⬤⬤⬤⬤⬤⬤⬤○○○</v>
      </c>
      <c r="N18" t="s">
        <v>86</v>
      </c>
      <c r="O18" s="5">
        <v>216</v>
      </c>
      <c r="P18" t="str">
        <f t="shared" si="0"/>
        <v>Bus 3</v>
      </c>
      <c r="Q18">
        <f t="shared" si="1"/>
        <v>216</v>
      </c>
      <c r="AI18" t="str">
        <f>AI8</f>
        <v>Occupation</v>
      </c>
      <c r="AJ18" t="str">
        <f>AJ8</f>
        <v>Total Riders (Passengers)</v>
      </c>
      <c r="AK18" t="s">
        <v>115</v>
      </c>
      <c r="AO18" t="str">
        <f>AO9</f>
        <v>Above 60</v>
      </c>
      <c r="AP18" s="13">
        <f>AP9</f>
        <v>1089</v>
      </c>
      <c r="AQ18" s="8">
        <f t="shared" si="8"/>
        <v>0.16532564141490816</v>
      </c>
      <c r="AU18" t="str">
        <f>AU8</f>
        <v>Self-Employed</v>
      </c>
      <c r="AV18" s="18">
        <f>AV8</f>
        <v>0.70486111111111116</v>
      </c>
    </row>
    <row r="19" spans="2:48" x14ac:dyDescent="0.3">
      <c r="G19" t="str">
        <f t="shared" ref="G19:H19" si="13">G11</f>
        <v>Other</v>
      </c>
      <c r="H19">
        <f t="shared" si="13"/>
        <v>703</v>
      </c>
      <c r="I19" s="8">
        <f t="shared" si="11"/>
        <v>0.10672536814938516</v>
      </c>
      <c r="J19" s="14" t="str">
        <f t="shared" si="12"/>
        <v>⬤○○○○○○○○○</v>
      </c>
      <c r="N19" t="s">
        <v>73</v>
      </c>
      <c r="O19" s="5">
        <v>205</v>
      </c>
      <c r="P19" t="str">
        <f t="shared" si="0"/>
        <v>Bus 18</v>
      </c>
      <c r="Q19">
        <f t="shared" si="1"/>
        <v>205</v>
      </c>
      <c r="AI19" t="str">
        <f>AI9</f>
        <v>Other</v>
      </c>
      <c r="AJ19">
        <f>AJ9</f>
        <v>1633</v>
      </c>
      <c r="AK19">
        <f>SUM($AJ$19:$AJ$24)</f>
        <v>6587</v>
      </c>
      <c r="AO19" t="str">
        <f>AO10</f>
        <v>20-29</v>
      </c>
      <c r="AP19" s="13">
        <f>AP10</f>
        <v>785</v>
      </c>
      <c r="AQ19" s="8">
        <f t="shared" si="8"/>
        <v>0.11917413086382268</v>
      </c>
      <c r="AU19" t="str">
        <f>AU9</f>
        <v>Student</v>
      </c>
      <c r="AV19" s="18">
        <f>AV9</f>
        <v>0.87291666666666667</v>
      </c>
    </row>
    <row r="20" spans="2:48" x14ac:dyDescent="0.3">
      <c r="N20" t="s">
        <v>101</v>
      </c>
      <c r="O20" s="5">
        <v>200</v>
      </c>
      <c r="P20" t="str">
        <f t="shared" si="0"/>
        <v>Bus 7</v>
      </c>
      <c r="Q20">
        <f t="shared" si="1"/>
        <v>200</v>
      </c>
      <c r="AI20" t="str">
        <f>AI10</f>
        <v>Professional</v>
      </c>
      <c r="AJ20">
        <f>AJ10</f>
        <v>1554</v>
      </c>
      <c r="AK20">
        <f>SUM($AJ$19:$AJ$24)</f>
        <v>6587</v>
      </c>
      <c r="AO20" t="str">
        <f>AO11</f>
        <v>0-19</v>
      </c>
      <c r="AP20" s="13">
        <f>AP11</f>
        <v>576</v>
      </c>
      <c r="AQ20" s="8">
        <f t="shared" si="8"/>
        <v>8.7444967359951414E-2</v>
      </c>
      <c r="AU20" t="str">
        <f>AU10</f>
        <v>Unemployed</v>
      </c>
      <c r="AV20" s="18">
        <f>AV10</f>
        <v>0.96944444444444444</v>
      </c>
    </row>
    <row r="21" spans="2:48" x14ac:dyDescent="0.3">
      <c r="N21" t="s">
        <v>81</v>
      </c>
      <c r="O21" s="5">
        <v>197</v>
      </c>
      <c r="P21" t="str">
        <f t="shared" si="0"/>
        <v>Bus 25</v>
      </c>
      <c r="Q21">
        <f t="shared" si="1"/>
        <v>197</v>
      </c>
      <c r="AI21" t="str">
        <f>AI11</f>
        <v>Retired</v>
      </c>
      <c r="AJ21">
        <f>AJ11</f>
        <v>589</v>
      </c>
      <c r="AK21">
        <f>SUM($AJ$19:$AJ$24)</f>
        <v>6587</v>
      </c>
    </row>
    <row r="22" spans="2:48" x14ac:dyDescent="0.3">
      <c r="N22" t="s">
        <v>87</v>
      </c>
      <c r="O22" s="5">
        <v>185</v>
      </c>
      <c r="P22" t="str">
        <f t="shared" si="0"/>
        <v>Bus 30</v>
      </c>
      <c r="Q22">
        <f t="shared" si="1"/>
        <v>185</v>
      </c>
      <c r="AI22" t="str">
        <f>AI12</f>
        <v>Self-Employed</v>
      </c>
      <c r="AJ22">
        <f>AJ12</f>
        <v>1321</v>
      </c>
      <c r="AK22">
        <f>SUM($AJ$19:$AJ$24)</f>
        <v>6587</v>
      </c>
    </row>
    <row r="23" spans="2:48" x14ac:dyDescent="0.3">
      <c r="N23" t="s">
        <v>72</v>
      </c>
      <c r="O23" s="5">
        <v>176</v>
      </c>
      <c r="P23" t="str">
        <f t="shared" si="0"/>
        <v>Bus 17</v>
      </c>
      <c r="Q23">
        <f t="shared" si="1"/>
        <v>176</v>
      </c>
      <c r="AI23" t="str">
        <f>AI13</f>
        <v>Student</v>
      </c>
      <c r="AJ23">
        <f>AJ13</f>
        <v>479</v>
      </c>
      <c r="AK23">
        <f>SUM($AJ$19:$AJ$24)</f>
        <v>6587</v>
      </c>
    </row>
    <row r="24" spans="2:48" x14ac:dyDescent="0.3">
      <c r="N24" t="s">
        <v>103</v>
      </c>
      <c r="O24" s="5">
        <v>173</v>
      </c>
      <c r="P24" t="str">
        <f t="shared" si="0"/>
        <v>Bus 9</v>
      </c>
      <c r="Q24">
        <f t="shared" si="1"/>
        <v>173</v>
      </c>
      <c r="AI24" t="str">
        <f>AI14</f>
        <v>Unemployed</v>
      </c>
      <c r="AJ24">
        <f>AJ14</f>
        <v>1011</v>
      </c>
      <c r="AK24">
        <f>SUM($AJ$19:$AJ$24)</f>
        <v>6587</v>
      </c>
    </row>
    <row r="25" spans="2:48" x14ac:dyDescent="0.3">
      <c r="N25" t="s">
        <v>78</v>
      </c>
      <c r="O25" s="5">
        <v>169</v>
      </c>
      <c r="P25" t="str">
        <f t="shared" si="0"/>
        <v>Bus 22</v>
      </c>
      <c r="Q25">
        <f t="shared" si="1"/>
        <v>169</v>
      </c>
    </row>
    <row r="26" spans="2:48" x14ac:dyDescent="0.3">
      <c r="N26" t="s">
        <v>88</v>
      </c>
      <c r="O26" s="5">
        <v>164</v>
      </c>
      <c r="P26" t="str">
        <f t="shared" si="0"/>
        <v>Bus 31</v>
      </c>
      <c r="Q26">
        <f t="shared" si="1"/>
        <v>164</v>
      </c>
    </row>
    <row r="27" spans="2:48" x14ac:dyDescent="0.3">
      <c r="N27" t="s">
        <v>75</v>
      </c>
      <c r="O27" s="5">
        <v>150</v>
      </c>
      <c r="P27" t="str">
        <f t="shared" si="0"/>
        <v>Bus 2</v>
      </c>
      <c r="Q27">
        <f t="shared" si="1"/>
        <v>150</v>
      </c>
    </row>
    <row r="28" spans="2:48" x14ac:dyDescent="0.3">
      <c r="N28" t="s">
        <v>67</v>
      </c>
      <c r="O28" s="5">
        <v>149</v>
      </c>
      <c r="P28" t="str">
        <f t="shared" si="0"/>
        <v>Bus 12</v>
      </c>
      <c r="Q28">
        <f t="shared" si="1"/>
        <v>149</v>
      </c>
    </row>
    <row r="29" spans="2:48" x14ac:dyDescent="0.3">
      <c r="N29" t="s">
        <v>89</v>
      </c>
      <c r="O29" s="5">
        <v>148</v>
      </c>
      <c r="P29" t="str">
        <f t="shared" si="0"/>
        <v>Bus 32</v>
      </c>
      <c r="Q29">
        <f t="shared" si="1"/>
        <v>148</v>
      </c>
    </row>
    <row r="30" spans="2:48" x14ac:dyDescent="0.3">
      <c r="N30" t="s">
        <v>102</v>
      </c>
      <c r="O30" s="5">
        <v>144</v>
      </c>
      <c r="P30" t="str">
        <f t="shared" si="0"/>
        <v>Bus 8</v>
      </c>
      <c r="Q30">
        <f t="shared" si="1"/>
        <v>144</v>
      </c>
    </row>
    <row r="31" spans="2:48" x14ac:dyDescent="0.3">
      <c r="N31" t="s">
        <v>66</v>
      </c>
      <c r="O31" s="5">
        <v>134</v>
      </c>
      <c r="P31" t="str">
        <f t="shared" si="0"/>
        <v>Bus 11</v>
      </c>
      <c r="Q31">
        <f t="shared" si="1"/>
        <v>134</v>
      </c>
    </row>
    <row r="32" spans="2:48" x14ac:dyDescent="0.3">
      <c r="N32" t="s">
        <v>71</v>
      </c>
      <c r="O32" s="5">
        <v>130</v>
      </c>
      <c r="P32" t="str">
        <f t="shared" si="0"/>
        <v>Bus 16</v>
      </c>
      <c r="Q32">
        <f t="shared" si="1"/>
        <v>130</v>
      </c>
    </row>
    <row r="33" spans="14:17" x14ac:dyDescent="0.3">
      <c r="N33" t="s">
        <v>64</v>
      </c>
      <c r="O33" s="5">
        <v>129</v>
      </c>
      <c r="P33" t="str">
        <f t="shared" si="0"/>
        <v>Bus 1</v>
      </c>
      <c r="Q33">
        <f t="shared" si="1"/>
        <v>129</v>
      </c>
    </row>
    <row r="34" spans="14:17" x14ac:dyDescent="0.3">
      <c r="N34" t="s">
        <v>100</v>
      </c>
      <c r="O34" s="5">
        <v>128</v>
      </c>
      <c r="P34" t="str">
        <f t="shared" si="0"/>
        <v>Bus 6</v>
      </c>
      <c r="Q34">
        <f t="shared" si="1"/>
        <v>128</v>
      </c>
    </row>
    <row r="35" spans="14:17" x14ac:dyDescent="0.3">
      <c r="N35" t="s">
        <v>80</v>
      </c>
      <c r="O35" s="5">
        <v>128</v>
      </c>
      <c r="P35" t="str">
        <f t="shared" si="0"/>
        <v>Bus 24</v>
      </c>
      <c r="Q35">
        <f t="shared" si="1"/>
        <v>128</v>
      </c>
    </row>
    <row r="36" spans="14:17" x14ac:dyDescent="0.3">
      <c r="N36" t="s">
        <v>85</v>
      </c>
      <c r="O36" s="5">
        <v>127</v>
      </c>
      <c r="P36" t="str">
        <f t="shared" si="0"/>
        <v>Bus 29</v>
      </c>
      <c r="Q36">
        <f t="shared" si="1"/>
        <v>127</v>
      </c>
    </row>
    <row r="37" spans="14:17" x14ac:dyDescent="0.3">
      <c r="N37" t="s">
        <v>93</v>
      </c>
      <c r="O37" s="5">
        <v>123</v>
      </c>
      <c r="P37" t="str">
        <f t="shared" si="0"/>
        <v>Bus 36</v>
      </c>
      <c r="Q37">
        <f t="shared" si="1"/>
        <v>123</v>
      </c>
    </row>
    <row r="38" spans="14:17" x14ac:dyDescent="0.3">
      <c r="N38" t="s">
        <v>92</v>
      </c>
      <c r="O38" s="5">
        <v>120</v>
      </c>
      <c r="P38" t="str">
        <f t="shared" si="0"/>
        <v>Bus 35</v>
      </c>
      <c r="Q38">
        <f t="shared" si="1"/>
        <v>120</v>
      </c>
    </row>
    <row r="39" spans="14:17" x14ac:dyDescent="0.3">
      <c r="N39" t="s">
        <v>79</v>
      </c>
      <c r="O39" s="5">
        <v>118</v>
      </c>
      <c r="P39" t="str">
        <f t="shared" si="0"/>
        <v>Bus 23</v>
      </c>
      <c r="Q39">
        <f t="shared" si="1"/>
        <v>118</v>
      </c>
    </row>
    <row r="40" spans="14:17" x14ac:dyDescent="0.3">
      <c r="N40" t="s">
        <v>70</v>
      </c>
      <c r="O40" s="5">
        <v>110</v>
      </c>
      <c r="P40" t="str">
        <f t="shared" si="0"/>
        <v>Bus 15</v>
      </c>
      <c r="Q40">
        <f t="shared" si="1"/>
        <v>110</v>
      </c>
    </row>
    <row r="41" spans="14:17" x14ac:dyDescent="0.3">
      <c r="N41" t="s">
        <v>98</v>
      </c>
      <c r="O41" s="5">
        <v>110</v>
      </c>
      <c r="P41" t="str">
        <f t="shared" si="0"/>
        <v>Bus 40</v>
      </c>
      <c r="Q41">
        <f t="shared" si="1"/>
        <v>110</v>
      </c>
    </row>
    <row r="42" spans="14:17" x14ac:dyDescent="0.3">
      <c r="N42" t="s">
        <v>99</v>
      </c>
      <c r="O42" s="5">
        <v>107</v>
      </c>
      <c r="P42" t="str">
        <f t="shared" si="0"/>
        <v>Bus 5</v>
      </c>
      <c r="Q42">
        <f t="shared" si="1"/>
        <v>107</v>
      </c>
    </row>
    <row r="43" spans="14:17" x14ac:dyDescent="0.3">
      <c r="N43" t="s">
        <v>91</v>
      </c>
      <c r="O43" s="5">
        <v>105</v>
      </c>
      <c r="P43" t="str">
        <f t="shared" si="0"/>
        <v>Bus 34</v>
      </c>
      <c r="Q43">
        <f t="shared" si="1"/>
        <v>105</v>
      </c>
    </row>
    <row r="44" spans="14:17" x14ac:dyDescent="0.3">
      <c r="N44" t="s">
        <v>68</v>
      </c>
      <c r="O44" s="5">
        <v>89</v>
      </c>
      <c r="P44" t="str">
        <f t="shared" si="0"/>
        <v>Bus 13</v>
      </c>
      <c r="Q44">
        <f t="shared" si="1"/>
        <v>89</v>
      </c>
    </row>
    <row r="45" spans="14:17" x14ac:dyDescent="0.3">
      <c r="N45" t="s">
        <v>69</v>
      </c>
      <c r="O45" s="5">
        <v>72</v>
      </c>
      <c r="P45" t="str">
        <f t="shared" si="0"/>
        <v>Bus 14</v>
      </c>
      <c r="Q45">
        <f t="shared" si="1"/>
        <v>72</v>
      </c>
    </row>
    <row r="46" spans="14:17" x14ac:dyDescent="0.3">
      <c r="N46" t="s">
        <v>74</v>
      </c>
      <c r="O46" s="5">
        <v>69</v>
      </c>
      <c r="P46" t="str">
        <f t="shared" si="0"/>
        <v>Bus 19</v>
      </c>
      <c r="Q46">
        <f t="shared" si="1"/>
        <v>69</v>
      </c>
    </row>
    <row r="47" spans="14:17" x14ac:dyDescent="0.3">
      <c r="N47" t="s">
        <v>82</v>
      </c>
      <c r="O47" s="5">
        <v>57</v>
      </c>
      <c r="P47" t="str">
        <f t="shared" si="0"/>
        <v>Bus 26</v>
      </c>
      <c r="Q47">
        <f t="shared" si="1"/>
        <v>57</v>
      </c>
    </row>
    <row r="48" spans="14:17" x14ac:dyDescent="0.3">
      <c r="N48" t="s">
        <v>96</v>
      </c>
      <c r="O48" s="5">
        <v>57</v>
      </c>
      <c r="P48" t="str">
        <f t="shared" si="0"/>
        <v>Bus 39</v>
      </c>
      <c r="Q48">
        <f t="shared" si="1"/>
        <v>57</v>
      </c>
    </row>
  </sheetData>
  <conditionalFormatting pivot="1" sqref="AV5:AV10">
    <cfRule type="expression" dxfId="1" priority="1">
      <formula>RIGHT(AV5,2)="AM"=AV5&lt;0.5</formula>
    </cfRule>
  </conditionalFormatting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A0D9-B63F-44B9-AC72-4446F78B6D5E}">
  <sheetPr codeName="Sheet3"/>
  <dimension ref="A1"/>
  <sheetViews>
    <sheetView showGridLines="0" showRowColHeaders="0" workbookViewId="0">
      <selection activeCell="Q26" sqref="Q26"/>
    </sheetView>
  </sheetViews>
  <sheetFormatPr defaultRowHeight="14.4" x14ac:dyDescent="0.3"/>
  <cols>
    <col min="1" max="16384" width="8.88671875" style="4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FC05-30A1-40E9-8792-062C692A3C57}">
  <sheetPr codeName="Sheet4"/>
  <dimension ref="A1"/>
  <sheetViews>
    <sheetView showGridLines="0" showRowColHeaders="0" workbookViewId="0">
      <selection activeCell="X5" sqref="X5"/>
    </sheetView>
  </sheetViews>
  <sheetFormatPr defaultRowHeight="14.4" x14ac:dyDescent="0.3"/>
  <cols>
    <col min="1" max="16384" width="8.88671875" style="4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0BFCB-FBE8-484F-B775-2D5C28A1BA4F}">
  <sheetPr codeName="Sheet5"/>
  <dimension ref="A1"/>
  <sheetViews>
    <sheetView showGridLines="0" showRowColHeaders="0" tabSelected="1" workbookViewId="0">
      <selection activeCell="R5" sqref="R5"/>
    </sheetView>
  </sheetViews>
  <sheetFormatPr defaultRowHeight="14.4" x14ac:dyDescent="0.3"/>
  <cols>
    <col min="1" max="16384" width="8.88671875" style="4"/>
  </cols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Option Button 1">
              <controlPr defaultSize="0" autoFill="0" autoLine="0" autoPict="0">
                <anchor moveWithCells="1">
                  <from>
                    <xdr:col>6</xdr:col>
                    <xdr:colOff>259080</xdr:colOff>
                    <xdr:row>21</xdr:row>
                    <xdr:rowOff>83820</xdr:rowOff>
                  </from>
                  <to>
                    <xdr:col>7</xdr:col>
                    <xdr:colOff>198120</xdr:colOff>
                    <xdr:row>22</xdr:row>
                    <xdr:rowOff>129540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Option Button 2">
              <controlPr defaultSize="0" autoFill="0" autoLine="0" autoPict="0">
                <anchor moveWithCells="1">
                  <from>
                    <xdr:col>7</xdr:col>
                    <xdr:colOff>121920</xdr:colOff>
                    <xdr:row>21</xdr:row>
                    <xdr:rowOff>83820</xdr:rowOff>
                  </from>
                  <to>
                    <xdr:col>8</xdr:col>
                    <xdr:colOff>114300</xdr:colOff>
                    <xdr:row>22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Props1.xml><?xml version="1.0" encoding="utf-8"?>
<ds:datastoreItem xmlns:ds="http://schemas.openxmlformats.org/officeDocument/2006/customXml" ds:itemID="{7EDAA1E1-77C8-40BD-807D-A04C86A104C8}">
  <ds:schemaRefs/>
</ds:datastoreItem>
</file>

<file path=customXml/itemProps2.xml><?xml version="1.0" encoding="utf-8"?>
<ds:datastoreItem xmlns:ds="http://schemas.openxmlformats.org/officeDocument/2006/customXml" ds:itemID="{5B1AE7F2-62D2-4BD4-BA51-972BF99D0C84}">
  <ds:schemaRefs/>
</ds:datastoreItem>
</file>

<file path=customXml/itemProps3.xml><?xml version="1.0" encoding="utf-8"?>
<ds:datastoreItem xmlns:ds="http://schemas.openxmlformats.org/officeDocument/2006/customXml" ds:itemID="{1726A203-444F-4E9C-B29C-EAC6C6C96AAE}">
  <ds:schemaRefs/>
</ds:datastoreItem>
</file>

<file path=customXml/itemProps4.xml><?xml version="1.0" encoding="utf-8"?>
<ds:datastoreItem xmlns:ds="http://schemas.openxmlformats.org/officeDocument/2006/customXml" ds:itemID="{AAFD57BB-46E9-4350-A03D-3CFE8F012D70}">
  <ds:schemaRefs/>
</ds:datastoreItem>
</file>

<file path=customXml/itemProps5.xml><?xml version="1.0" encoding="utf-8"?>
<ds:datastoreItem xmlns:ds="http://schemas.openxmlformats.org/officeDocument/2006/customXml" ds:itemID="{56387393-8B20-4D14-ACB7-11C220F912DA}">
  <ds:schemaRefs/>
</ds:datastoreItem>
</file>

<file path=customXml/itemProps6.xml><?xml version="1.0" encoding="utf-8"?>
<ds:datastoreItem xmlns:ds="http://schemas.openxmlformats.org/officeDocument/2006/customXml" ds:itemID="{22768A72-3053-4B53-B741-3E0FC68FC027}">
  <ds:schemaRefs/>
</ds:datastoreItem>
</file>

<file path=customXml/itemProps7.xml><?xml version="1.0" encoding="utf-8"?>
<ds:datastoreItem xmlns:ds="http://schemas.openxmlformats.org/officeDocument/2006/customXml" ds:itemID="{A43D6B54-08C9-46D0-BC81-3EB15189BFFA}">
  <ds:schemaRefs/>
</ds:datastoreItem>
</file>

<file path=customXml/itemProps8.xml><?xml version="1.0" encoding="utf-8"?>
<ds:datastoreItem xmlns:ds="http://schemas.openxmlformats.org/officeDocument/2006/customXml" ds:itemID="{93D0042C-1B2B-4FF5-BD9F-686521432D41}">
  <ds:schemaRefs/>
</ds:datastoreItem>
</file>

<file path=customXml/itemProps9.xml><?xml version="1.0" encoding="utf-8"?>
<ds:datastoreItem xmlns:ds="http://schemas.openxmlformats.org/officeDocument/2006/customXml" ds:itemID="{B5C3318C-FDEB-46A1-BBD0-0E4257074B7A}">
  <ds:schemaRefs/>
</ds:datastoreItem>
</file>

<file path=customXml/itemProps10.xml><?xml version="1.0" encoding="utf-8"?>
<ds:datastoreItem xmlns:ds="http://schemas.openxmlformats.org/officeDocument/2006/customXml" ds:itemID="{3722E22B-5034-47A4-ACC5-113A46E20CD1}">
  <ds:schemaRefs/>
</ds:datastoreItem>
</file>

<file path=customXml/itemProps11.xml><?xml version="1.0" encoding="utf-8"?>
<ds:datastoreItem xmlns:ds="http://schemas.openxmlformats.org/officeDocument/2006/customXml" ds:itemID="{E7A646A8-567C-470A-B38B-BDA457496AA1}">
  <ds:schemaRefs/>
</ds:datastoreItem>
</file>

<file path=customXml/itemProps12.xml><?xml version="1.0" encoding="utf-8"?>
<ds:datastoreItem xmlns:ds="http://schemas.openxmlformats.org/officeDocument/2006/customXml" ds:itemID="{4F9BFB7D-9AD8-41B3-9883-A9AA012AD458}">
  <ds:schemaRefs/>
</ds:datastoreItem>
</file>

<file path=customXml/itemProps13.xml><?xml version="1.0" encoding="utf-8"?>
<ds:datastoreItem xmlns:ds="http://schemas.openxmlformats.org/officeDocument/2006/customXml" ds:itemID="{29995A12-FB9A-4CBB-AA3C-76731C38D271}">
  <ds:schemaRefs/>
</ds:datastoreItem>
</file>

<file path=customXml/itemProps14.xml><?xml version="1.0" encoding="utf-8"?>
<ds:datastoreItem xmlns:ds="http://schemas.openxmlformats.org/officeDocument/2006/customXml" ds:itemID="{E69F7853-C767-4120-A6D7-7376C74ECC5B}">
  <ds:schemaRefs/>
</ds:datastoreItem>
</file>

<file path=customXml/itemProps15.xml><?xml version="1.0" encoding="utf-8"?>
<ds:datastoreItem xmlns:ds="http://schemas.openxmlformats.org/officeDocument/2006/customXml" ds:itemID="{B12264C2-F307-4600-A23B-34DF9D46E342}">
  <ds:schemaRefs/>
</ds:datastoreItem>
</file>

<file path=customXml/itemProps16.xml><?xml version="1.0" encoding="utf-8"?>
<ds:datastoreItem xmlns:ds="http://schemas.openxmlformats.org/officeDocument/2006/customXml" ds:itemID="{27A02F9F-6B0B-4D87-864D-02CF0A7710C3}">
  <ds:schemaRefs/>
</ds:datastoreItem>
</file>

<file path=customXml/itemProps17.xml><?xml version="1.0" encoding="utf-8"?>
<ds:datastoreItem xmlns:ds="http://schemas.openxmlformats.org/officeDocument/2006/customXml" ds:itemID="{C811458F-D14E-49D4-97C4-7C65F59D078F}">
  <ds:schemaRefs/>
</ds:datastoreItem>
</file>

<file path=customXml/itemProps18.xml><?xml version="1.0" encoding="utf-8"?>
<ds:datastoreItem xmlns:ds="http://schemas.openxmlformats.org/officeDocument/2006/customXml" ds:itemID="{7CEBBF09-325F-4F78-BCF5-CB1C29726D7C}">
  <ds:schemaRefs/>
</ds:datastoreItem>
</file>

<file path=customXml/itemProps19.xml><?xml version="1.0" encoding="utf-8"?>
<ds:datastoreItem xmlns:ds="http://schemas.openxmlformats.org/officeDocument/2006/customXml" ds:itemID="{F3060E1E-05E2-4829-8C37-9E2D3DBDEB85}">
  <ds:schemaRefs/>
</ds:datastoreItem>
</file>

<file path=customXml/itemProps20.xml><?xml version="1.0" encoding="utf-8"?>
<ds:datastoreItem xmlns:ds="http://schemas.openxmlformats.org/officeDocument/2006/customXml" ds:itemID="{C381B65B-8D64-4581-A6C1-1D1758EAFD43}">
  <ds:schemaRefs/>
</ds:datastoreItem>
</file>

<file path=customXml/itemProps21.xml><?xml version="1.0" encoding="utf-8"?>
<ds:datastoreItem xmlns:ds="http://schemas.openxmlformats.org/officeDocument/2006/customXml" ds:itemID="{99AB7BC0-BE80-4097-9295-B709205F2E72}">
  <ds:schemaRefs/>
</ds:datastoreItem>
</file>

<file path=customXml/itemProps22.xml><?xml version="1.0" encoding="utf-8"?>
<ds:datastoreItem xmlns:ds="http://schemas.openxmlformats.org/officeDocument/2006/customXml" ds:itemID="{C1FEC23D-B295-46B5-A4F5-A6427AD84FB7}">
  <ds:schemaRefs/>
</ds:datastoreItem>
</file>

<file path=customXml/itemProps23.xml><?xml version="1.0" encoding="utf-8"?>
<ds:datastoreItem xmlns:ds="http://schemas.openxmlformats.org/officeDocument/2006/customXml" ds:itemID="{31C22271-F0F2-4F62-9877-A40A4975CF1A}">
  <ds:schemaRefs/>
</ds:datastoreItem>
</file>

<file path=customXml/itemProps24.xml><?xml version="1.0" encoding="utf-8"?>
<ds:datastoreItem xmlns:ds="http://schemas.openxmlformats.org/officeDocument/2006/customXml" ds:itemID="{D4010405-CE8C-4901-8F8A-C491C6B6628E}">
  <ds:schemaRefs/>
</ds:datastoreItem>
</file>

<file path=customXml/itemProps25.xml><?xml version="1.0" encoding="utf-8"?>
<ds:datastoreItem xmlns:ds="http://schemas.openxmlformats.org/officeDocument/2006/customXml" ds:itemID="{E84E069F-0BD7-4DF5-BA78-C39B2B4A18BD}">
  <ds:schemaRefs>
    <ds:schemaRef ds:uri="http://schemas.microsoft.com/DataMashup"/>
  </ds:schemaRefs>
</ds:datastoreItem>
</file>

<file path=customXml/itemProps26.xml><?xml version="1.0" encoding="utf-8"?>
<ds:datastoreItem xmlns:ds="http://schemas.openxmlformats.org/officeDocument/2006/customXml" ds:itemID="{A0B55852-CE23-4E69-8F5E-F212F61286DD}">
  <ds:schemaRefs/>
</ds:datastoreItem>
</file>

<file path=customXml/itemProps27.xml><?xml version="1.0" encoding="utf-8"?>
<ds:datastoreItem xmlns:ds="http://schemas.openxmlformats.org/officeDocument/2006/customXml" ds:itemID="{48097DC8-D28F-4A20-A58C-3597C006BFF6}">
  <ds:schemaRefs/>
</ds:datastoreItem>
</file>

<file path=customXml/itemProps28.xml><?xml version="1.0" encoding="utf-8"?>
<ds:datastoreItem xmlns:ds="http://schemas.openxmlformats.org/officeDocument/2006/customXml" ds:itemID="{3B9CE94C-941A-4BA5-8030-BB3AA462E18D}">
  <ds:schemaRefs/>
</ds:datastoreItem>
</file>

<file path=customXml/itemProps29.xml><?xml version="1.0" encoding="utf-8"?>
<ds:datastoreItem xmlns:ds="http://schemas.openxmlformats.org/officeDocument/2006/customXml" ds:itemID="{94DF6C93-7934-4BDE-AA68-C3EAB73956EF}">
  <ds:schemaRefs/>
</ds:datastoreItem>
</file>

<file path=customXml/itemProps30.xml><?xml version="1.0" encoding="utf-8"?>
<ds:datastoreItem xmlns:ds="http://schemas.openxmlformats.org/officeDocument/2006/customXml" ds:itemID="{47D87339-A37F-4F01-995D-1512AB5964CA}">
  <ds:schemaRefs/>
</ds:datastoreItem>
</file>

<file path=customXml/itemProps31.xml><?xml version="1.0" encoding="utf-8"?>
<ds:datastoreItem xmlns:ds="http://schemas.openxmlformats.org/officeDocument/2006/customXml" ds:itemID="{D7AC18A9-8825-4F41-BD4D-9C22B553D43D}">
  <ds:schemaRefs/>
</ds:datastoreItem>
</file>

<file path=customXml/itemProps32.xml><?xml version="1.0" encoding="utf-8"?>
<ds:datastoreItem xmlns:ds="http://schemas.openxmlformats.org/officeDocument/2006/customXml" ds:itemID="{E502C64E-B27E-4462-B3F3-8239F8B3E6E7}">
  <ds:schemaRefs/>
</ds:datastoreItem>
</file>

<file path=customXml/itemProps33.xml><?xml version="1.0" encoding="utf-8"?>
<ds:datastoreItem xmlns:ds="http://schemas.openxmlformats.org/officeDocument/2006/customXml" ds:itemID="{9331314A-6D27-43F7-8495-AE5935AE3F93}">
  <ds:schemaRefs/>
</ds:datastoreItem>
</file>

<file path=customXml/itemProps34.xml><?xml version="1.0" encoding="utf-8"?>
<ds:datastoreItem xmlns:ds="http://schemas.openxmlformats.org/officeDocument/2006/customXml" ds:itemID="{892A3E6A-A620-46E4-B37B-B59CE392C2A1}">
  <ds:schemaRefs/>
</ds:datastoreItem>
</file>

<file path=customXml/itemProps35.xml><?xml version="1.0" encoding="utf-8"?>
<ds:datastoreItem xmlns:ds="http://schemas.openxmlformats.org/officeDocument/2006/customXml" ds:itemID="{062F0295-50C9-4AAA-B619-B33C8B842AE0}">
  <ds:schemaRefs/>
</ds:datastoreItem>
</file>

<file path=customXml/itemProps36.xml><?xml version="1.0" encoding="utf-8"?>
<ds:datastoreItem xmlns:ds="http://schemas.openxmlformats.org/officeDocument/2006/customXml" ds:itemID="{805BB080-7D73-4128-A86D-1589E00C15DE}">
  <ds:schemaRefs/>
</ds:datastoreItem>
</file>

<file path=customXml/itemProps37.xml><?xml version="1.0" encoding="utf-8"?>
<ds:datastoreItem xmlns:ds="http://schemas.openxmlformats.org/officeDocument/2006/customXml" ds:itemID="{79E57B2E-7919-4891-AE95-52C2E51D48C5}">
  <ds:schemaRefs/>
</ds:datastoreItem>
</file>

<file path=customXml/itemProps38.xml><?xml version="1.0" encoding="utf-8"?>
<ds:datastoreItem xmlns:ds="http://schemas.openxmlformats.org/officeDocument/2006/customXml" ds:itemID="{1EF222E3-E0B0-45E6-A9B3-47F603A4AAD8}">
  <ds:schemaRefs/>
</ds:datastoreItem>
</file>

<file path=customXml/itemProps39.xml><?xml version="1.0" encoding="utf-8"?>
<ds:datastoreItem xmlns:ds="http://schemas.openxmlformats.org/officeDocument/2006/customXml" ds:itemID="{B6744D84-145B-4B62-9CDA-441D4E749D63}">
  <ds:schemaRefs/>
</ds:datastoreItem>
</file>

<file path=customXml/itemProps40.xml><?xml version="1.0" encoding="utf-8"?>
<ds:datastoreItem xmlns:ds="http://schemas.openxmlformats.org/officeDocument/2006/customXml" ds:itemID="{B29CEB83-B001-4895-93E3-EDD5C8C052EF}">
  <ds:schemaRefs/>
</ds:datastoreItem>
</file>

<file path=customXml/itemProps41.xml><?xml version="1.0" encoding="utf-8"?>
<ds:datastoreItem xmlns:ds="http://schemas.openxmlformats.org/officeDocument/2006/customXml" ds:itemID="{A53A7E53-6C4E-410A-A825-882E4D869051}">
  <ds:schemaRefs/>
</ds:datastoreItem>
</file>

<file path=customXml/itemProps42.xml><?xml version="1.0" encoding="utf-8"?>
<ds:datastoreItem xmlns:ds="http://schemas.openxmlformats.org/officeDocument/2006/customXml" ds:itemID="{B4CB4CDA-5C4C-4B6D-9365-7041A89228F2}">
  <ds:schemaRefs/>
</ds:datastoreItem>
</file>

<file path=customXml/itemProps43.xml><?xml version="1.0" encoding="utf-8"?>
<ds:datastoreItem xmlns:ds="http://schemas.openxmlformats.org/officeDocument/2006/customXml" ds:itemID="{6CDD7394-82C5-45D0-8D3B-67CCB8AE94EB}">
  <ds:schemaRefs/>
</ds:datastoreItem>
</file>

<file path=customXml/itemProps44.xml><?xml version="1.0" encoding="utf-8"?>
<ds:datastoreItem xmlns:ds="http://schemas.openxmlformats.org/officeDocument/2006/customXml" ds:itemID="{11A57A08-B2AC-4284-963C-D683FC5FE4C1}">
  <ds:schemaRefs/>
</ds:datastoreItem>
</file>

<file path=customXml/itemProps45.xml><?xml version="1.0" encoding="utf-8"?>
<ds:datastoreItem xmlns:ds="http://schemas.openxmlformats.org/officeDocument/2006/customXml" ds:itemID="{BC807364-FE54-44FC-B167-BEEF3441BE2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 01</vt:lpstr>
      <vt:lpstr>Analysis 02</vt:lpstr>
      <vt:lpstr>Recommendations</vt:lpstr>
      <vt:lpstr>TransitPulse - Operations</vt:lpstr>
      <vt:lpstr>TransitPulse - Demographics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Batool Altarawneh</dc:creator>
  <cp:lastModifiedBy>Batool Altarawneh</cp:lastModifiedBy>
  <dcterms:created xsi:type="dcterms:W3CDTF">2026-04-29T22:50:03Z</dcterms:created>
  <dcterms:modified xsi:type="dcterms:W3CDTF">2026-05-10T03:38:40Z</dcterms:modified>
</cp:coreProperties>
</file>